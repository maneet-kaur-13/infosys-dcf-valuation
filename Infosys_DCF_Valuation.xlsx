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ee\Downloads\"/>
    </mc:Choice>
  </mc:AlternateContent>
  <xr:revisionPtr revIDLastSave="0" documentId="13_ncr:1_{4DED91F5-595C-4C4D-854A-F75BAAD7FE1D}" xr6:coauthVersionLast="47" xr6:coauthVersionMax="47" xr10:uidLastSave="{00000000-0000-0000-0000-000000000000}"/>
  <bookViews>
    <workbookView xWindow="-108" yWindow="-108" windowWidth="23256" windowHeight="13896" tabRatio="500" firstSheet="2" activeTab="6" xr2:uid="{00000000-000D-0000-FFFF-FFFF00000000}"/>
  </bookViews>
  <sheets>
    <sheet name="Cover" sheetId="1" r:id="rId1"/>
    <sheet name="Historical Financials" sheetId="2" r:id="rId2"/>
    <sheet name="Assumptions" sheetId="3" r:id="rId3"/>
    <sheet name="Forecast Model" sheetId="4" r:id="rId4"/>
    <sheet name="DCF Valuation" sheetId="5" r:id="rId5"/>
    <sheet name="Sensitivity Analysis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5" l="1"/>
  <c r="C22" i="5"/>
  <c r="C14" i="5"/>
  <c r="H11" i="4"/>
  <c r="G11" i="4"/>
  <c r="F11" i="4"/>
  <c r="E11" i="4"/>
  <c r="D11" i="4"/>
  <c r="H9" i="4"/>
  <c r="M12" i="7" s="1"/>
  <c r="G9" i="4"/>
  <c r="F9" i="4"/>
  <c r="F10" i="4" s="1"/>
  <c r="E9" i="4"/>
  <c r="E10" i="4" s="1"/>
  <c r="D9" i="4"/>
  <c r="D10" i="4" s="1"/>
  <c r="H7" i="4"/>
  <c r="G7" i="4"/>
  <c r="G10" i="4" s="1"/>
  <c r="F7" i="4"/>
  <c r="E7" i="4"/>
  <c r="D7" i="4"/>
  <c r="D6" i="4"/>
  <c r="C27" i="3"/>
  <c r="C28" i="3" s="1"/>
  <c r="C26" i="3"/>
  <c r="C23" i="3"/>
  <c r="C20" i="3"/>
  <c r="H48" i="2"/>
  <c r="G48" i="2"/>
  <c r="F48" i="2"/>
  <c r="E48" i="2"/>
  <c r="D48" i="2"/>
  <c r="H47" i="2"/>
  <c r="G47" i="2"/>
  <c r="F47" i="2"/>
  <c r="E47" i="2"/>
  <c r="D47" i="2"/>
  <c r="H46" i="2"/>
  <c r="G46" i="2"/>
  <c r="F46" i="2"/>
  <c r="E46" i="2"/>
  <c r="D46" i="2"/>
  <c r="D35" i="2"/>
  <c r="D36" i="2" s="1"/>
  <c r="H34" i="2"/>
  <c r="G34" i="2"/>
  <c r="F34" i="2"/>
  <c r="E34" i="2"/>
  <c r="E35" i="2" s="1"/>
  <c r="E36" i="2" s="1"/>
  <c r="D34" i="2"/>
  <c r="H31" i="2"/>
  <c r="H35" i="2" s="1"/>
  <c r="H36" i="2" s="1"/>
  <c r="G31" i="2"/>
  <c r="G35" i="2" s="1"/>
  <c r="G36" i="2" s="1"/>
  <c r="F31" i="2"/>
  <c r="E31" i="2"/>
  <c r="D31" i="2"/>
  <c r="H12" i="2"/>
  <c r="G12" i="2"/>
  <c r="H10" i="2"/>
  <c r="H9" i="2"/>
  <c r="G9" i="2"/>
  <c r="G10" i="2" s="1"/>
  <c r="F9" i="2"/>
  <c r="F12" i="2" s="1"/>
  <c r="E9" i="2"/>
  <c r="E12" i="2" s="1"/>
  <c r="D9" i="2"/>
  <c r="D12" i="2" s="1"/>
  <c r="H7" i="2"/>
  <c r="G7" i="2"/>
  <c r="F7" i="2"/>
  <c r="E7" i="2"/>
  <c r="D7" i="5" l="1"/>
  <c r="C7" i="5"/>
  <c r="G7" i="5"/>
  <c r="K4" i="7"/>
  <c r="C15" i="5"/>
  <c r="E7" i="5"/>
  <c r="F7" i="5"/>
  <c r="D13" i="2"/>
  <c r="D15" i="2"/>
  <c r="H15" i="2"/>
  <c r="H13" i="2"/>
  <c r="G15" i="2"/>
  <c r="G13" i="2"/>
  <c r="E13" i="2"/>
  <c r="E15" i="2"/>
  <c r="F35" i="2"/>
  <c r="F36" i="2" s="1"/>
  <c r="F13" i="2"/>
  <c r="F15" i="2"/>
  <c r="D15" i="4"/>
  <c r="E10" i="2"/>
  <c r="E6" i="4"/>
  <c r="D13" i="4"/>
  <c r="D10" i="2"/>
  <c r="F10" i="2"/>
  <c r="H10" i="4"/>
  <c r="D14" i="4"/>
  <c r="D8" i="4"/>
  <c r="D12" i="4" s="1"/>
  <c r="D16" i="4" s="1"/>
  <c r="C5" i="5" l="1"/>
  <c r="C8" i="5" s="1"/>
  <c r="D16" i="2"/>
  <c r="D18" i="2"/>
  <c r="E8" i="4"/>
  <c r="E12" i="4" s="1"/>
  <c r="E14" i="4"/>
  <c r="E13" i="4"/>
  <c r="F6" i="4"/>
  <c r="E15" i="4"/>
  <c r="E16" i="2"/>
  <c r="E18" i="2"/>
  <c r="G16" i="2"/>
  <c r="G18" i="2"/>
  <c r="H18" i="2"/>
  <c r="H16" i="2"/>
  <c r="F16" i="2"/>
  <c r="F18" i="2"/>
  <c r="G21" i="2" l="1"/>
  <c r="G22" i="2" s="1"/>
  <c r="G20" i="2"/>
  <c r="G23" i="2" s="1"/>
  <c r="F8" i="4"/>
  <c r="F12" i="4" s="1"/>
  <c r="F14" i="4"/>
  <c r="G6" i="4"/>
  <c r="F13" i="4"/>
  <c r="F15" i="4"/>
  <c r="E21" i="2"/>
  <c r="E22" i="2" s="1"/>
  <c r="E20" i="2"/>
  <c r="E23" i="2" s="1"/>
  <c r="E16" i="4"/>
  <c r="F21" i="2"/>
  <c r="F22" i="2" s="1"/>
  <c r="F20" i="2"/>
  <c r="F23" i="2" s="1"/>
  <c r="D21" i="2"/>
  <c r="D22" i="2" s="1"/>
  <c r="D20" i="2"/>
  <c r="D23" i="2" s="1"/>
  <c r="H21" i="2"/>
  <c r="H22" i="2" s="1"/>
  <c r="H20" i="2"/>
  <c r="H23" i="2" s="1"/>
  <c r="D5" i="5" l="1"/>
  <c r="D8" i="5" s="1"/>
  <c r="F16" i="4"/>
  <c r="E5" i="5" s="1"/>
  <c r="E8" i="5" s="1"/>
  <c r="G8" i="4"/>
  <c r="G12" i="4" s="1"/>
  <c r="G15" i="4"/>
  <c r="G14" i="4"/>
  <c r="G13" i="4"/>
  <c r="H6" i="4"/>
  <c r="H15" i="4" l="1"/>
  <c r="H14" i="4"/>
  <c r="M11" i="7"/>
  <c r="H13" i="4"/>
  <c r="H8" i="4"/>
  <c r="H12" i="4" s="1"/>
  <c r="H16" i="4" s="1"/>
  <c r="G16" i="4"/>
  <c r="F6" i="6"/>
  <c r="F17" i="6" s="1"/>
  <c r="C10" i="6"/>
  <c r="C21" i="6" s="1"/>
  <c r="B8" i="6"/>
  <c r="B19" i="6" s="1"/>
  <c r="G9" i="6"/>
  <c r="G20" i="6" s="1"/>
  <c r="E10" i="6"/>
  <c r="E21" i="6" s="1"/>
  <c r="F9" i="6"/>
  <c r="F20" i="6" s="1"/>
  <c r="H11" i="6"/>
  <c r="H22" i="6" s="1"/>
  <c r="F5" i="5" l="1"/>
  <c r="F8" i="5" s="1"/>
  <c r="B12" i="6"/>
  <c r="B23" i="6" s="1"/>
  <c r="E11" i="6"/>
  <c r="E22" i="6" s="1"/>
  <c r="F10" i="6"/>
  <c r="F21" i="6" s="1"/>
  <c r="D12" i="6"/>
  <c r="D23" i="6" s="1"/>
  <c r="C8" i="6"/>
  <c r="C19" i="6" s="1"/>
  <c r="D11" i="6"/>
  <c r="D22" i="6" s="1"/>
  <c r="C7" i="6"/>
  <c r="C18" i="6" s="1"/>
  <c r="F12" i="6"/>
  <c r="F23" i="6" s="1"/>
  <c r="E6" i="6"/>
  <c r="E17" i="6" s="1"/>
  <c r="H10" i="6"/>
  <c r="H21" i="6" s="1"/>
  <c r="C11" i="6"/>
  <c r="C22" i="6" s="1"/>
  <c r="C6" i="6"/>
  <c r="C17" i="6" s="1"/>
  <c r="F7" i="6"/>
  <c r="F18" i="6" s="1"/>
  <c r="B6" i="6"/>
  <c r="B17" i="6" s="1"/>
  <c r="G12" i="6"/>
  <c r="G23" i="6" s="1"/>
  <c r="B7" i="6"/>
  <c r="B18" i="6" s="1"/>
  <c r="E7" i="6"/>
  <c r="E18" i="6" s="1"/>
  <c r="H9" i="6"/>
  <c r="H20" i="6" s="1"/>
  <c r="D7" i="6"/>
  <c r="D18" i="6" s="1"/>
  <c r="B11" i="6"/>
  <c r="B22" i="6" s="1"/>
  <c r="D10" i="6"/>
  <c r="D21" i="6" s="1"/>
  <c r="G6" i="6"/>
  <c r="G17" i="6" s="1"/>
  <c r="E12" i="6"/>
  <c r="E23" i="6" s="1"/>
  <c r="B9" i="6"/>
  <c r="B20" i="6" s="1"/>
  <c r="D6" i="6"/>
  <c r="D17" i="6" s="1"/>
  <c r="H8" i="6"/>
  <c r="H19" i="6" s="1"/>
  <c r="H12" i="6"/>
  <c r="H23" i="6" s="1"/>
  <c r="G10" i="6"/>
  <c r="G21" i="6" s="1"/>
  <c r="H7" i="6"/>
  <c r="H18" i="6" s="1"/>
  <c r="C12" i="6"/>
  <c r="C23" i="6" s="1"/>
  <c r="E9" i="6"/>
  <c r="E20" i="6" s="1"/>
  <c r="F11" i="6"/>
  <c r="F22" i="6" s="1"/>
  <c r="E8" i="6"/>
  <c r="E19" i="6" s="1"/>
  <c r="C9" i="6"/>
  <c r="C20" i="6" s="1"/>
  <c r="D9" i="6"/>
  <c r="D20" i="6" s="1"/>
  <c r="F8" i="6"/>
  <c r="F19" i="6" s="1"/>
  <c r="B10" i="6"/>
  <c r="B21" i="6" s="1"/>
  <c r="G7" i="6"/>
  <c r="G18" i="6" s="1"/>
  <c r="G8" i="6"/>
  <c r="G19" i="6" s="1"/>
  <c r="G11" i="6"/>
  <c r="G22" i="6" s="1"/>
  <c r="H6" i="6"/>
  <c r="H17" i="6" s="1"/>
  <c r="D8" i="6"/>
  <c r="D19" i="6" s="1"/>
  <c r="M13" i="7"/>
  <c r="G5" i="5"/>
  <c r="G8" i="5" s="1"/>
  <c r="C13" i="5"/>
  <c r="C16" i="5" s="1"/>
  <c r="C17" i="5" s="1"/>
  <c r="C18" i="5" l="1"/>
  <c r="C10" i="5"/>
  <c r="C21" i="5" s="1"/>
  <c r="C24" i="5" l="1"/>
  <c r="A4" i="7"/>
  <c r="C26" i="5" l="1"/>
  <c r="C4" i="7"/>
  <c r="C28" i="5" l="1"/>
  <c r="C29" i="5"/>
  <c r="I4" i="7" s="1"/>
  <c r="E4" i="7"/>
</calcChain>
</file>

<file path=xl/sharedStrings.xml><?xml version="1.0" encoding="utf-8"?>
<sst xmlns="http://schemas.openxmlformats.org/spreadsheetml/2006/main" count="269" uniqueCount="193">
  <si>
    <t>INFOSYS LIMITED
Business Valuation — DCF Analysis
FY2022–FY2031</t>
  </si>
  <si>
    <t>Valuation Date:</t>
  </si>
  <si>
    <t>31 March 2026</t>
  </si>
  <si>
    <t>Methodology:</t>
  </si>
  <si>
    <t>Discounted Cash Flow (FCFF)</t>
  </si>
  <si>
    <t>Historical Period:</t>
  </si>
  <si>
    <t>FY2022 – FY2026</t>
  </si>
  <si>
    <t>Forecast Period:</t>
  </si>
  <si>
    <t>FY2027 – FY2031</t>
  </si>
  <si>
    <t>Currency:</t>
  </si>
  <si>
    <t>INR (₹) in Crores (Cr)</t>
  </si>
  <si>
    <t>Exchange Rate:</t>
  </si>
  <si>
    <t>1 USD = 83.5 INR (approx.)</t>
  </si>
  <si>
    <t>Stock Exchange:</t>
  </si>
  <si>
    <t>NSE / BSE  |  Ticker: INFY</t>
  </si>
  <si>
    <t>Prepared By:</t>
  </si>
  <si>
    <t>Valuation Analyst – Transaction Advisory</t>
  </si>
  <si>
    <t>Model Version:</t>
  </si>
  <si>
    <t>v1.0  |  Analyst-Grade DCF</t>
  </si>
  <si>
    <t>DISCLAIMER: This model is prepared for educational and internship-portfolio purposes only. All data sourced from Infosys Annual Reports &amp; NSE filings. This does not constitute investment advice.</t>
  </si>
  <si>
    <t>#</t>
  </si>
  <si>
    <t>Sheet</t>
  </si>
  <si>
    <t>Description</t>
  </si>
  <si>
    <t>1</t>
  </si>
  <si>
    <t>Cover</t>
  </si>
  <si>
    <t>Project overview and navigation</t>
  </si>
  <si>
    <t>2</t>
  </si>
  <si>
    <t>Historical Financials</t>
  </si>
  <si>
    <t>IS / BS / CFS – FY2022 to FY2026</t>
  </si>
  <si>
    <t>3</t>
  </si>
  <si>
    <t>Assumptions</t>
  </si>
  <si>
    <t>All driver assumptions with rationale</t>
  </si>
  <si>
    <t>4</t>
  </si>
  <si>
    <t>Forecast Model</t>
  </si>
  <si>
    <t>5-year projected financials</t>
  </si>
  <si>
    <t>5</t>
  </si>
  <si>
    <t>DCF Valuation</t>
  </si>
  <si>
    <t>EV, Equity Value, Intrinsic Price</t>
  </si>
  <si>
    <t>6</t>
  </si>
  <si>
    <t>Sensitivity Analysis</t>
  </si>
  <si>
    <t>WACC vs TGR matrix</t>
  </si>
  <si>
    <t>7</t>
  </si>
  <si>
    <t>Dashboard</t>
  </si>
  <si>
    <t>Visual summary of key outputs</t>
  </si>
  <si>
    <t>INFOSYS LIMITED — Historical Financial Statements (FY2022–FY2026)</t>
  </si>
  <si>
    <t>All figures in INR Crores (₹ Cr)  |  Source: Infosys Annual Reports, NSE Filings</t>
  </si>
  <si>
    <t>INCOME STATEMENT</t>
  </si>
  <si>
    <t>Particulars (₹ Cr)</t>
  </si>
  <si>
    <t>FY2022</t>
  </si>
  <si>
    <t>FY2023</t>
  </si>
  <si>
    <t>FY2024</t>
  </si>
  <si>
    <t>FY2025</t>
  </si>
  <si>
    <t>FY2026</t>
  </si>
  <si>
    <t>Revenue from Operations</t>
  </si>
  <si>
    <t>YoY Revenue Growth %</t>
  </si>
  <si>
    <t>N/A</t>
  </si>
  <si>
    <t>Cost of Sales</t>
  </si>
  <si>
    <t>Gross Profit</t>
  </si>
  <si>
    <t>Gross Margin %</t>
  </si>
  <si>
    <t>SG&amp;A / Other Expenses</t>
  </si>
  <si>
    <t>EBITDA</t>
  </si>
  <si>
    <t>EBITDA Margin %</t>
  </si>
  <si>
    <t>Depreciation &amp; Amortisation</t>
  </si>
  <si>
    <t>EBIT</t>
  </si>
  <si>
    <t>EBIT Margin %</t>
  </si>
  <si>
    <t>Other Income (Net)</t>
  </si>
  <si>
    <t>PBT</t>
  </si>
  <si>
    <t>Tax Expense</t>
  </si>
  <si>
    <t>Effective Tax Rate %</t>
  </si>
  <si>
    <t>PAT (Net Income)</t>
  </si>
  <si>
    <t>PAT Margin %</t>
  </si>
  <si>
    <t>NOPAT (EBIT×(1-t))</t>
  </si>
  <si>
    <t>BALANCE SHEET (SELECTED ITEMS)</t>
  </si>
  <si>
    <t>Cash &amp; Cash Equivalents</t>
  </si>
  <si>
    <t>Trade Receivables</t>
  </si>
  <si>
    <t>Other Current Assets</t>
  </si>
  <si>
    <t>Total Current Assets</t>
  </si>
  <si>
    <t>Trade Payables</t>
  </si>
  <si>
    <t>Other Current Liabilities</t>
  </si>
  <si>
    <t>Total Current Liabilities</t>
  </si>
  <si>
    <t>Net Working Capital</t>
  </si>
  <si>
    <t>NWC as % of Revenue</t>
  </si>
  <si>
    <t>Fixed Assets (Net Block)</t>
  </si>
  <si>
    <t>Total Debt</t>
  </si>
  <si>
    <t>Total Equity</t>
  </si>
  <si>
    <t>CASH FLOW STATEMENT (SELECTED ITEMS)</t>
  </si>
  <si>
    <t>CFO – Operating Cash Flow</t>
  </si>
  <si>
    <t>Capex (Purchase of Fixed Assets)</t>
  </si>
  <si>
    <t>Capex as % of Revenue</t>
  </si>
  <si>
    <t>D&amp;A as % of Revenue</t>
  </si>
  <si>
    <t>Free Cash Flow to Equity</t>
  </si>
  <si>
    <t>INFOSYS DCF — KEY ASSUMPTIONS &amp; RATIONALE</t>
  </si>
  <si>
    <t>REVENUE GROWTH ASSUMPTIONS</t>
  </si>
  <si>
    <t>Driver</t>
  </si>
  <si>
    <t>Metric</t>
  </si>
  <si>
    <t>FY2027</t>
  </si>
  <si>
    <t>FY2028</t>
  </si>
  <si>
    <t>FY2029</t>
  </si>
  <si>
    <t>FY2030</t>
  </si>
  <si>
    <t>FY2031</t>
  </si>
  <si>
    <t>Source</t>
  </si>
  <si>
    <t>Rationale</t>
  </si>
  <si>
    <t>Revenue Growth %</t>
  </si>
  <si>
    <t>% YoY</t>
  </si>
  <si>
    <t>Infosys AR / Consensus — moderated from ~14% CAGR to reflect base effect</t>
  </si>
  <si>
    <t>PROFITABILITY ASSUMPTIONS</t>
  </si>
  <si>
    <t>% of Rev</t>
  </si>
  <si>
    <t>WACC INPUTS</t>
  </si>
  <si>
    <t>Parameter</t>
  </si>
  <si>
    <t>Basis</t>
  </si>
  <si>
    <t>Value</t>
  </si>
  <si>
    <t>Formula / Note</t>
  </si>
  <si>
    <t>Risk-Free Rate (Rf)</t>
  </si>
  <si>
    <t>10Y GoI Bond Yield</t>
  </si>
  <si>
    <t>Equity Risk Premium (ERP)</t>
  </si>
  <si>
    <t>Damodaran India ERP</t>
  </si>
  <si>
    <t>Beta (β)</t>
  </si>
  <si>
    <t>NSE 2Y Adjusted Beta</t>
  </si>
  <si>
    <t>Cost of Equity (Ke)</t>
  </si>
  <si>
    <t>CAPM: Rf + β×ERP</t>
  </si>
  <si>
    <t>Rf + Beta x ERP (CAPM)</t>
  </si>
  <si>
    <t>Pre-tax Cost of Debt (Kd)</t>
  </si>
  <si>
    <t>Marginal Borrowing Rate</t>
  </si>
  <si>
    <t>Tax Rate (for Kd shield)</t>
  </si>
  <si>
    <t>Effective Rate</t>
  </si>
  <si>
    <t>After-tax Kd</t>
  </si>
  <si>
    <t>Kd×(1-t)</t>
  </si>
  <si>
    <t>Kd x (1 - Tax Rate)</t>
  </si>
  <si>
    <t>Market Cap (₹ Cr)</t>
  </si>
  <si>
    <t>NSE Market Cap ~Apr 2026</t>
  </si>
  <si>
    <t>Total Debt (₹ Cr)</t>
  </si>
  <si>
    <t>From Balance Sheet</t>
  </si>
  <si>
    <t>Equity Weight (We)</t>
  </si>
  <si>
    <t>E/(E+D)</t>
  </si>
  <si>
    <t>E / (E + D)</t>
  </si>
  <si>
    <t>Debt Weight (Wd)</t>
  </si>
  <si>
    <t>D/(E+D)</t>
  </si>
  <si>
    <t>D / (E + D)</t>
  </si>
  <si>
    <t>WACC</t>
  </si>
  <si>
    <t>We×Ke + Wd×Kd(1-t)</t>
  </si>
  <si>
    <t>We x Ke + Wd x Kd(1-t)</t>
  </si>
  <si>
    <t>Terminal Growth Rate (g)</t>
  </si>
  <si>
    <t>LT GDP + Inflation proxy</t>
  </si>
  <si>
    <t>INFOSYS LIMITED — 5-Year Forecast Model (FY2027–FY2031)</t>
  </si>
  <si>
    <t>All figures in INR Crores (₹ Cr)  |  Assumptions sourced from 'Assumptions' tab  |  Blue = input  |  Black = formula  |  Green = cross-sheet link</t>
  </si>
  <si>
    <t>FORECASTED INCOME STATEMENT</t>
  </si>
  <si>
    <t>NOPAT</t>
  </si>
  <si>
    <t>Capex</t>
  </si>
  <si>
    <t>Change in Net Working Capital</t>
  </si>
  <si>
    <t>FCFF</t>
  </si>
  <si>
    <t>FCFF Formula:  NOPAT  +  D&amp;A  –  Capex  –  ΔNWC    |  NOPAT = EBIT × (1 – Tax Rate)    |    All assumptions linked from 'Assumptions' tab</t>
  </si>
  <si>
    <t>INFOSYS LIMITED — DCF VALUATION (FCFF Method)</t>
  </si>
  <si>
    <t>STEP 1: FREE CASH FLOW TO FIRM (FCFF)</t>
  </si>
  <si>
    <t>FCFF (₹ Cr)</t>
  </si>
  <si>
    <t>Discount Period (n)</t>
  </si>
  <si>
    <t>Discount Factor</t>
  </si>
  <si>
    <t>PV of FCFF</t>
  </si>
  <si>
    <t>Sum of PV of FCFF (₹ Cr)</t>
  </si>
  <si>
    <t>STEP 2: TERMINAL VALUE (Gordon Growth Model)</t>
  </si>
  <si>
    <t>FCFF in Terminal Year (FY2031, ₹ Cr)</t>
  </si>
  <si>
    <t>Terminal Value (₹ Cr)</t>
  </si>
  <si>
    <t>PV of Terminal Value (₹ Cr)</t>
  </si>
  <si>
    <t>TV as % of Enterprise Value</t>
  </si>
  <si>
    <t>STEP 3: ENTERPRISE VALUE → EQUITY VALUE → SHARE PRICE</t>
  </si>
  <si>
    <t>Enterprise Value (EV = PV FCFF + PV TV)</t>
  </si>
  <si>
    <t>(–) Total Debt (₹ Cr)</t>
  </si>
  <si>
    <t>(+) Cash &amp; Investments (₹ Cr)</t>
  </si>
  <si>
    <t>Equity Value (₹ Cr)</t>
  </si>
  <si>
    <t>Shares Outstanding (Cr)</t>
  </si>
  <si>
    <t>Intrinsic Value per Share (₹)</t>
  </si>
  <si>
    <t>Current Market Price (₹)</t>
  </si>
  <si>
    <t>Upside / (Downside) %</t>
  </si>
  <si>
    <t>Investment Recommendation</t>
  </si>
  <si>
    <t>SENSITIVITY ANALYSIS — WACC vs Terminal Growth Rate</t>
  </si>
  <si>
    <t>This matrix shows Intrinsic Value per Share (₹) for each combination of WACC (rows) and Terminal Growth Rate (cols).  Yellow = within 15% of CMP  |  Green = Upside &gt; 15%  |  Red = Downside &gt; 15%  |  CMP = ₹1,484</t>
  </si>
  <si>
    <t>INTRINSIC VALUE PER SHARE (₹) — WACC vs TGR</t>
  </si>
  <si>
    <t>WACC \ TGR →</t>
  </si>
  <si>
    <t>UPSIDE / (DOWNSIDE) vs CMP ₹1,484 — WACC vs TGR</t>
  </si>
  <si>
    <t>INFOSYS LIMITED — VALUATION DASHBOARD</t>
  </si>
  <si>
    <t>Enterprise Value</t>
  </si>
  <si>
    <t>Equity Value</t>
  </si>
  <si>
    <t>Intrinsic Price</t>
  </si>
  <si>
    <t>CMP (Mkt Price)</t>
  </si>
  <si>
    <t>Recommendation</t>
  </si>
  <si>
    <t>1484</t>
  </si>
  <si>
    <t>₹ Crores</t>
  </si>
  <si>
    <t>₹ / Share</t>
  </si>
  <si>
    <t>Signal</t>
  </si>
  <si>
    <t>Discount Rate</t>
  </si>
  <si>
    <t>KEY METRICS SUMMARY</t>
  </si>
  <si>
    <t>FY2031E</t>
  </si>
  <si>
    <t>Revenue (₹ Cr)</t>
  </si>
  <si>
    <t>Model Legend:  Blue Text = Hardcoded Input  |  Black = Formula  |  Green = Cross-Sheet Link  |  Light Blue Fill = Key Assumption Cell  |  This dashboard auto-updates when assumptions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</si>
</sst>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25" x14ac:knownFonts="1">
    <font>
      <sz val="11"/>
      <color theme="1"/>
      <name val="Calibri"/>
      <family val="2"/>
      <charset val="1"/>
    </font>
    <font>
      <b/>
      <sz val="22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2E75B6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b/>
      <sz val="9"/>
      <color rgb="FFFFFFFF"/>
      <name val="Calibri"/>
      <family val="2"/>
    </font>
    <font>
      <i/>
      <sz val="8"/>
      <color rgb="FF595959"/>
      <name val="Calibri"/>
      <family val="2"/>
    </font>
    <font>
      <b/>
      <sz val="11"/>
      <color rgb="FF008000"/>
      <name val="Calibri"/>
      <family val="2"/>
    </font>
    <font>
      <sz val="11"/>
      <color rgb="FF008000"/>
      <name val="Calibri"/>
      <family val="2"/>
    </font>
    <font>
      <b/>
      <sz val="12"/>
      <color rgb="FF375623"/>
      <name val="Calibri"/>
      <family val="2"/>
    </font>
    <font>
      <b/>
      <sz val="16"/>
      <color rgb="FFFFFFFF"/>
      <name val="Calibri"/>
      <family val="2"/>
    </font>
    <font>
      <b/>
      <sz val="18"/>
      <color rgb="FF1F3864"/>
      <name val="Calibri"/>
      <family val="2"/>
    </font>
    <font>
      <b/>
      <sz val="18"/>
      <color rgb="FF2E75B6"/>
      <name val="Calibri"/>
      <family val="2"/>
    </font>
    <font>
      <b/>
      <sz val="18"/>
      <color rgb="FF375623"/>
      <name val="Calibri"/>
      <family val="2"/>
    </font>
    <font>
      <b/>
      <sz val="18"/>
      <color rgb="FFC9A227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C9A227"/>
        <bgColor rgb="FF99CC00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EBF3FB"/>
        <bgColor rgb="FFF2F2F2"/>
      </patternFill>
    </fill>
    <fill>
      <patternFill patternType="solid">
        <fgColor rgb="FF375623"/>
        <bgColor rgb="FF59595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3" borderId="0" xfId="0" applyFont="1" applyFill="1"/>
    <xf numFmtId="0" fontId="7" fillId="3" borderId="0" xfId="0" applyFont="1" applyFill="1"/>
    <xf numFmtId="0" fontId="8" fillId="5" borderId="0" xfId="0" applyFont="1" applyFill="1"/>
    <xf numFmtId="0" fontId="7" fillId="5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5" fillId="2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3" fontId="13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3" fontId="14" fillId="5" borderId="1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/>
    </xf>
    <xf numFmtId="3" fontId="12" fillId="7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3" fontId="14" fillId="3" borderId="1" xfId="0" applyNumberFormat="1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13" fillId="8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left" vertical="center"/>
    </xf>
    <xf numFmtId="10" fontId="14" fillId="8" borderId="1" xfId="0" applyNumberFormat="1" applyFont="1" applyFill="1" applyBorder="1" applyAlignment="1">
      <alignment horizontal="right" vertical="center"/>
    </xf>
    <xf numFmtId="10" fontId="12" fillId="5" borderId="1" xfId="0" applyNumberFormat="1" applyFont="1" applyFill="1" applyBorder="1" applyAlignment="1">
      <alignment horizontal="right" vertical="center"/>
    </xf>
    <xf numFmtId="10" fontId="12" fillId="3" borderId="1" xfId="0" applyNumberFormat="1" applyFont="1" applyFill="1" applyBorder="1" applyAlignment="1">
      <alignment horizontal="right" vertical="center"/>
    </xf>
    <xf numFmtId="3" fontId="14" fillId="8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164" fontId="12" fillId="3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0" fontId="2" fillId="7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3" fontId="17" fillId="5" borderId="1" xfId="0" applyNumberFormat="1" applyFont="1" applyFill="1" applyBorder="1" applyAlignment="1">
      <alignment horizontal="right" vertical="center"/>
    </xf>
    <xf numFmtId="3" fontId="17" fillId="0" borderId="1" xfId="0" applyNumberFormat="1" applyFont="1" applyBorder="1" applyAlignment="1">
      <alignment horizontal="right" vertical="center"/>
    </xf>
    <xf numFmtId="164" fontId="18" fillId="3" borderId="1" xfId="0" applyNumberFormat="1" applyFont="1" applyFill="1" applyBorder="1" applyAlignment="1">
      <alignment horizontal="right" vertical="center"/>
    </xf>
    <xf numFmtId="3" fontId="12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3" fontId="18" fillId="3" borderId="1" xfId="0" applyNumberFormat="1" applyFont="1" applyFill="1" applyBorder="1" applyAlignment="1">
      <alignment horizontal="right" vertical="center"/>
    </xf>
    <xf numFmtId="3" fontId="18" fillId="5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right" vertical="center"/>
    </xf>
    <xf numFmtId="3" fontId="18" fillId="0" borderId="1" xfId="0" applyNumberFormat="1" applyFont="1" applyBorder="1" applyAlignment="1">
      <alignment horizontal="right" vertical="center"/>
    </xf>
    <xf numFmtId="1" fontId="14" fillId="5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4" fontId="11" fillId="6" borderId="0" xfId="0" applyNumberFormat="1" applyFont="1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6" fillId="0" borderId="0" xfId="0" applyFont="1"/>
    <xf numFmtId="0" fontId="11" fillId="2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3" fontId="12" fillId="7" borderId="1" xfId="0" applyNumberFormat="1" applyFont="1" applyFill="1" applyBorder="1" applyAlignment="1">
      <alignment horizontal="right" vertical="center"/>
    </xf>
    <xf numFmtId="3" fontId="18" fillId="0" borderId="1" xfId="0" applyNumberFormat="1" applyFont="1" applyBorder="1" applyAlignment="1">
      <alignment horizontal="right" vertical="center"/>
    </xf>
    <xf numFmtId="10" fontId="18" fillId="0" borderId="1" xfId="0" applyNumberFormat="1" applyFont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4" fontId="14" fillId="3" borderId="1" xfId="0" applyNumberFormat="1" applyFont="1" applyFill="1" applyBorder="1" applyAlignment="1">
      <alignment horizontal="right" vertical="center"/>
    </xf>
    <xf numFmtId="4" fontId="12" fillId="7" borderId="1" xfId="0" applyNumberFormat="1" applyFont="1" applyFill="1" applyBorder="1" applyAlignment="1">
      <alignment horizontal="right" vertical="center"/>
    </xf>
    <xf numFmtId="49" fontId="19" fillId="7" borderId="1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3" fontId="21" fillId="5" borderId="0" xfId="0" applyNumberFormat="1" applyFont="1" applyFill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4" fontId="23" fillId="5" borderId="0" xfId="0" applyNumberFormat="1" applyFont="1" applyFill="1" applyAlignment="1">
      <alignment horizontal="center" vertical="center"/>
    </xf>
    <xf numFmtId="4" fontId="24" fillId="5" borderId="0" xfId="0" applyNumberFormat="1" applyFont="1" applyFill="1" applyAlignment="1">
      <alignment horizontal="center" vertical="center"/>
    </xf>
    <xf numFmtId="49" fontId="21" fillId="5" borderId="0" xfId="0" applyNumberFormat="1" applyFont="1" applyFill="1" applyAlignment="1">
      <alignment horizontal="center" vertical="center"/>
    </xf>
    <xf numFmtId="10" fontId="22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3" fontId="14" fillId="3" borderId="1" xfId="0" applyNumberFormat="1" applyFont="1" applyFill="1" applyBorder="1" applyAlignment="1">
      <alignment horizontal="right" vertical="center"/>
    </xf>
    <xf numFmtId="3" fontId="17" fillId="0" borderId="1" xfId="0" applyNumberFormat="1" applyFont="1" applyBorder="1" applyAlignment="1">
      <alignment horizontal="right" vertical="center"/>
    </xf>
    <xf numFmtId="164" fontId="14" fillId="5" borderId="1" xfId="0" applyNumberFormat="1" applyFont="1" applyFill="1" applyBorder="1" applyAlignment="1">
      <alignment horizontal="right" vertical="center"/>
    </xf>
    <xf numFmtId="164" fontId="17" fillId="0" borderId="1" xfId="0" applyNumberFormat="1" applyFont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F3F98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59"/>
  <sheetViews>
    <sheetView showGridLines="0" topLeftCell="A3" zoomScaleNormal="100" workbookViewId="0">
      <selection sqref="A1:M8"/>
    </sheetView>
  </sheetViews>
  <sheetFormatPr defaultColWidth="8.6640625" defaultRowHeight="14.4" x14ac:dyDescent="0.3"/>
  <cols>
    <col min="1" max="1" width="2" customWidth="1"/>
    <col min="2" max="2" width="4" customWidth="1"/>
    <col min="3" max="5" width="18" customWidth="1"/>
    <col min="6" max="11" width="14" customWidth="1"/>
    <col min="12" max="13" width="4" customWidth="1"/>
  </cols>
  <sheetData>
    <row r="1" spans="1:14" ht="1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ht="1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1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4" ht="15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ht="15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</row>
    <row r="6" spans="1:14" ht="15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</row>
    <row r="7" spans="1:14" ht="15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1:14" ht="15" customHeigh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 spans="1:14" ht="1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5"/>
    </row>
    <row r="10" spans="1:14" ht="15" customHeigh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3">
      <c r="A11" s="15"/>
      <c r="B11" s="13" t="s">
        <v>1</v>
      </c>
      <c r="C11" s="13"/>
      <c r="D11" s="13"/>
      <c r="E11" s="12" t="s">
        <v>2</v>
      </c>
      <c r="F11" s="12"/>
      <c r="G11" s="12"/>
      <c r="H11" s="12"/>
      <c r="I11" s="12"/>
      <c r="J11" s="12"/>
      <c r="K11" s="12"/>
      <c r="L11" s="15"/>
      <c r="M11" s="15"/>
      <c r="N11" s="15"/>
    </row>
    <row r="12" spans="1:14" ht="15" customHeight="1" x14ac:dyDescent="0.3">
      <c r="A12" s="15"/>
      <c r="B12" s="13" t="s">
        <v>3</v>
      </c>
      <c r="C12" s="13"/>
      <c r="D12" s="13"/>
      <c r="E12" s="12" t="s">
        <v>4</v>
      </c>
      <c r="F12" s="12"/>
      <c r="G12" s="12"/>
      <c r="H12" s="12"/>
      <c r="I12" s="12"/>
      <c r="J12" s="12"/>
      <c r="K12" s="12"/>
      <c r="L12" s="15"/>
      <c r="M12" s="15"/>
      <c r="N12" s="15"/>
    </row>
    <row r="13" spans="1:14" ht="15" customHeight="1" x14ac:dyDescent="0.3">
      <c r="A13" s="15"/>
      <c r="B13" s="13" t="s">
        <v>5</v>
      </c>
      <c r="C13" s="13"/>
      <c r="D13" s="13"/>
      <c r="E13" s="12" t="s">
        <v>6</v>
      </c>
      <c r="F13" s="12"/>
      <c r="G13" s="12"/>
      <c r="H13" s="12"/>
      <c r="I13" s="12"/>
      <c r="J13" s="12"/>
      <c r="K13" s="12"/>
      <c r="L13" s="15"/>
      <c r="M13" s="15"/>
      <c r="N13" s="15"/>
    </row>
    <row r="14" spans="1:14" ht="15" customHeight="1" x14ac:dyDescent="0.3">
      <c r="A14" s="15"/>
      <c r="B14" s="13" t="s">
        <v>7</v>
      </c>
      <c r="C14" s="13"/>
      <c r="D14" s="13"/>
      <c r="E14" s="12" t="s">
        <v>8</v>
      </c>
      <c r="F14" s="12"/>
      <c r="G14" s="12"/>
      <c r="H14" s="12"/>
      <c r="I14" s="12"/>
      <c r="J14" s="12"/>
      <c r="K14" s="12"/>
      <c r="L14" s="15"/>
      <c r="M14" s="15"/>
      <c r="N14" s="15"/>
    </row>
    <row r="15" spans="1:14" ht="15" customHeight="1" x14ac:dyDescent="0.3">
      <c r="A15" s="15"/>
      <c r="B15" s="13" t="s">
        <v>9</v>
      </c>
      <c r="C15" s="13"/>
      <c r="D15" s="13"/>
      <c r="E15" s="12" t="s">
        <v>10</v>
      </c>
      <c r="F15" s="12"/>
      <c r="G15" s="12"/>
      <c r="H15" s="12"/>
      <c r="I15" s="12"/>
      <c r="J15" s="12"/>
      <c r="K15" s="12"/>
      <c r="L15" s="15"/>
      <c r="M15" s="15"/>
      <c r="N15" s="15"/>
    </row>
    <row r="16" spans="1:14" ht="15" customHeight="1" x14ac:dyDescent="0.3">
      <c r="A16" s="15"/>
      <c r="B16" s="13" t="s">
        <v>11</v>
      </c>
      <c r="C16" s="13"/>
      <c r="D16" s="13"/>
      <c r="E16" s="12" t="s">
        <v>12</v>
      </c>
      <c r="F16" s="12"/>
      <c r="G16" s="12"/>
      <c r="H16" s="12"/>
      <c r="I16" s="12"/>
      <c r="J16" s="12"/>
      <c r="K16" s="12"/>
      <c r="L16" s="15"/>
      <c r="M16" s="15"/>
      <c r="N16" s="15"/>
    </row>
    <row r="17" spans="1:14" ht="15" customHeight="1" x14ac:dyDescent="0.3">
      <c r="A17" s="15"/>
      <c r="B17" s="13" t="s">
        <v>13</v>
      </c>
      <c r="C17" s="13"/>
      <c r="D17" s="13"/>
      <c r="E17" s="12" t="s">
        <v>14</v>
      </c>
      <c r="F17" s="12"/>
      <c r="G17" s="12"/>
      <c r="H17" s="12"/>
      <c r="I17" s="12"/>
      <c r="J17" s="12"/>
      <c r="K17" s="12"/>
      <c r="L17" s="15"/>
      <c r="M17" s="15"/>
      <c r="N17" s="15"/>
    </row>
    <row r="18" spans="1:14" ht="15" customHeight="1" x14ac:dyDescent="0.3">
      <c r="A18" s="15"/>
      <c r="B18" s="13" t="s">
        <v>15</v>
      </c>
      <c r="C18" s="13"/>
      <c r="D18" s="13"/>
      <c r="E18" s="12" t="s">
        <v>16</v>
      </c>
      <c r="F18" s="12"/>
      <c r="G18" s="12"/>
      <c r="H18" s="12"/>
      <c r="I18" s="12"/>
      <c r="J18" s="12"/>
      <c r="K18" s="12"/>
      <c r="L18" s="15"/>
      <c r="M18" s="15"/>
      <c r="N18" s="15"/>
    </row>
    <row r="19" spans="1:14" ht="15" customHeight="1" x14ac:dyDescent="0.3">
      <c r="A19" s="15"/>
      <c r="B19" s="13" t="s">
        <v>17</v>
      </c>
      <c r="C19" s="13"/>
      <c r="D19" s="13"/>
      <c r="E19" s="12" t="s">
        <v>18</v>
      </c>
      <c r="F19" s="12"/>
      <c r="G19" s="12"/>
      <c r="H19" s="12"/>
      <c r="I19" s="12"/>
      <c r="J19" s="12"/>
      <c r="K19" s="12"/>
      <c r="L19" s="15"/>
      <c r="M19" s="15"/>
      <c r="N19" s="15"/>
    </row>
    <row r="20" spans="1:14" ht="15" customHeight="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15" customHeight="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" customHeight="1" x14ac:dyDescent="0.3">
      <c r="A22" s="15"/>
      <c r="B22" s="11" t="s">
        <v>19</v>
      </c>
      <c r="C22" s="11"/>
      <c r="D22" s="11"/>
      <c r="E22" s="11"/>
      <c r="F22" s="11"/>
      <c r="G22" s="11"/>
      <c r="H22" s="11"/>
      <c r="I22" s="11"/>
      <c r="J22" s="11"/>
      <c r="K22" s="11"/>
      <c r="L22" s="15"/>
      <c r="M22" s="15"/>
      <c r="N22" s="15"/>
    </row>
    <row r="23" spans="1:14" ht="15" customHeight="1" x14ac:dyDescent="0.3">
      <c r="A23" s="1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5"/>
      <c r="M23" s="15"/>
      <c r="N23" s="15"/>
    </row>
    <row r="24" spans="1:14" ht="15" customHeight="1" x14ac:dyDescent="0.3">
      <c r="A24" s="1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5"/>
      <c r="M24" s="15"/>
      <c r="N24" s="15"/>
    </row>
    <row r="25" spans="1:14" ht="15" customHeight="1" x14ac:dyDescent="0.3">
      <c r="A25" s="1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5"/>
      <c r="M25" s="15"/>
      <c r="N25" s="15"/>
    </row>
    <row r="26" spans="1:14" ht="1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15" customHeight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15" customHeight="1" x14ac:dyDescent="0.3">
      <c r="A28" s="15"/>
      <c r="B28" s="17" t="s">
        <v>20</v>
      </c>
      <c r="C28" s="10" t="s">
        <v>21</v>
      </c>
      <c r="D28" s="10"/>
      <c r="E28" s="10" t="s">
        <v>22</v>
      </c>
      <c r="F28" s="10"/>
      <c r="G28" s="10"/>
      <c r="H28" s="10"/>
      <c r="I28" s="10"/>
      <c r="J28" s="10"/>
      <c r="K28" s="15"/>
      <c r="L28" s="15"/>
      <c r="M28" s="15"/>
      <c r="N28" s="15"/>
    </row>
    <row r="29" spans="1:14" ht="15" customHeight="1" x14ac:dyDescent="0.3">
      <c r="A29" s="15"/>
      <c r="B29" s="18" t="s">
        <v>23</v>
      </c>
      <c r="C29" s="9" t="s">
        <v>24</v>
      </c>
      <c r="D29" s="9"/>
      <c r="E29" s="8" t="s">
        <v>25</v>
      </c>
      <c r="F29" s="8"/>
      <c r="G29" s="8"/>
      <c r="H29" s="8"/>
      <c r="I29" s="8"/>
      <c r="J29" s="8"/>
      <c r="K29" s="15"/>
      <c r="L29" s="15"/>
      <c r="M29" s="15"/>
      <c r="N29" s="15"/>
    </row>
    <row r="30" spans="1:14" ht="15" customHeight="1" x14ac:dyDescent="0.3">
      <c r="A30" s="15"/>
      <c r="B30" s="19" t="s">
        <v>26</v>
      </c>
      <c r="C30" s="7" t="s">
        <v>27</v>
      </c>
      <c r="D30" s="7"/>
      <c r="E30" s="6" t="s">
        <v>28</v>
      </c>
      <c r="F30" s="6"/>
      <c r="G30" s="6"/>
      <c r="H30" s="6"/>
      <c r="I30" s="6"/>
      <c r="J30" s="6"/>
      <c r="K30" s="15"/>
      <c r="L30" s="15"/>
      <c r="M30" s="15"/>
      <c r="N30" s="15"/>
    </row>
    <row r="31" spans="1:14" ht="15" customHeight="1" x14ac:dyDescent="0.3">
      <c r="A31" s="15"/>
      <c r="B31" s="18" t="s">
        <v>29</v>
      </c>
      <c r="C31" s="9" t="s">
        <v>30</v>
      </c>
      <c r="D31" s="9"/>
      <c r="E31" s="8" t="s">
        <v>31</v>
      </c>
      <c r="F31" s="8"/>
      <c r="G31" s="8"/>
      <c r="H31" s="8"/>
      <c r="I31" s="8"/>
      <c r="J31" s="8"/>
      <c r="K31" s="15"/>
      <c r="L31" s="15"/>
      <c r="M31" s="15"/>
      <c r="N31" s="15"/>
    </row>
    <row r="32" spans="1:14" ht="15" customHeight="1" x14ac:dyDescent="0.3">
      <c r="A32" s="15"/>
      <c r="B32" s="19" t="s">
        <v>32</v>
      </c>
      <c r="C32" s="7" t="s">
        <v>33</v>
      </c>
      <c r="D32" s="7"/>
      <c r="E32" s="6" t="s">
        <v>34</v>
      </c>
      <c r="F32" s="6"/>
      <c r="G32" s="6"/>
      <c r="H32" s="6"/>
      <c r="I32" s="6"/>
      <c r="J32" s="6"/>
      <c r="K32" s="15"/>
      <c r="L32" s="15"/>
      <c r="M32" s="15"/>
      <c r="N32" s="15"/>
    </row>
    <row r="33" spans="1:14" ht="15" customHeight="1" x14ac:dyDescent="0.3">
      <c r="A33" s="15"/>
      <c r="B33" s="18" t="s">
        <v>35</v>
      </c>
      <c r="C33" s="9" t="s">
        <v>36</v>
      </c>
      <c r="D33" s="9"/>
      <c r="E33" s="8" t="s">
        <v>37</v>
      </c>
      <c r="F33" s="8"/>
      <c r="G33" s="8"/>
      <c r="H33" s="8"/>
      <c r="I33" s="8"/>
      <c r="J33" s="8"/>
      <c r="K33" s="15"/>
      <c r="L33" s="15"/>
      <c r="M33" s="15"/>
      <c r="N33" s="15"/>
    </row>
    <row r="34" spans="1:14" ht="15" customHeight="1" x14ac:dyDescent="0.3">
      <c r="A34" s="15"/>
      <c r="B34" s="19" t="s">
        <v>38</v>
      </c>
      <c r="C34" s="7" t="s">
        <v>39</v>
      </c>
      <c r="D34" s="7"/>
      <c r="E34" s="6" t="s">
        <v>40</v>
      </c>
      <c r="F34" s="6"/>
      <c r="G34" s="6"/>
      <c r="H34" s="6"/>
      <c r="I34" s="6"/>
      <c r="J34" s="6"/>
      <c r="K34" s="15"/>
      <c r="L34" s="15"/>
      <c r="M34" s="15"/>
      <c r="N34" s="15"/>
    </row>
    <row r="35" spans="1:14" ht="15" customHeight="1" x14ac:dyDescent="0.3">
      <c r="A35" s="15"/>
      <c r="B35" s="18" t="s">
        <v>41</v>
      </c>
      <c r="C35" s="9" t="s">
        <v>42</v>
      </c>
      <c r="D35" s="9"/>
      <c r="E35" s="8" t="s">
        <v>43</v>
      </c>
      <c r="F35" s="8"/>
      <c r="G35" s="8"/>
      <c r="H35" s="8"/>
      <c r="I35" s="8"/>
      <c r="J35" s="8"/>
      <c r="K35" s="15"/>
      <c r="L35" s="15"/>
      <c r="M35" s="15"/>
      <c r="N35" s="15"/>
    </row>
    <row r="36" spans="1:14" ht="15" customHeigh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5" customHeigh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" customHeigh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5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5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" customHeight="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5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5" customHeight="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5" customHeight="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" customHeight="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" customHeight="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" customHeight="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" customHeight="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" customHeight="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" customHeight="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</sheetData>
  <mergeCells count="36">
    <mergeCell ref="C35:D35"/>
    <mergeCell ref="E35:J35"/>
    <mergeCell ref="C32:D32"/>
    <mergeCell ref="E32:J32"/>
    <mergeCell ref="C33:D33"/>
    <mergeCell ref="E33:J33"/>
    <mergeCell ref="C34:D34"/>
    <mergeCell ref="E34:J34"/>
    <mergeCell ref="C29:D29"/>
    <mergeCell ref="E29:J29"/>
    <mergeCell ref="C30:D30"/>
    <mergeCell ref="E30:J30"/>
    <mergeCell ref="C31:D31"/>
    <mergeCell ref="E31:J31"/>
    <mergeCell ref="B19:D19"/>
    <mergeCell ref="E19:K19"/>
    <mergeCell ref="B22:K25"/>
    <mergeCell ref="C28:D28"/>
    <mergeCell ref="E28:J28"/>
    <mergeCell ref="B16:D16"/>
    <mergeCell ref="E16:K16"/>
    <mergeCell ref="B17:D17"/>
    <mergeCell ref="E17:K17"/>
    <mergeCell ref="B18:D18"/>
    <mergeCell ref="E18:K18"/>
    <mergeCell ref="B13:D13"/>
    <mergeCell ref="E13:K13"/>
    <mergeCell ref="B14:D14"/>
    <mergeCell ref="E14:K14"/>
    <mergeCell ref="B15:D15"/>
    <mergeCell ref="E15:K15"/>
    <mergeCell ref="A1:M8"/>
    <mergeCell ref="B11:D11"/>
    <mergeCell ref="E11:K11"/>
    <mergeCell ref="B12:D12"/>
    <mergeCell ref="E12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48"/>
  <sheetViews>
    <sheetView showGridLines="0" zoomScaleNormal="100" workbookViewId="0">
      <pane xSplit="3" ySplit="5" topLeftCell="D32" activePane="bottomRight" state="frozen"/>
      <selection pane="topRight" activeCell="D1" sqref="D1"/>
      <selection pane="bottomLeft" activeCell="A6" sqref="A6"/>
      <selection pane="bottomRight" sqref="A1:I1"/>
    </sheetView>
  </sheetViews>
  <sheetFormatPr defaultColWidth="8.6640625" defaultRowHeight="14.4" x14ac:dyDescent="0.3"/>
  <cols>
    <col min="1" max="1" width="1" customWidth="1"/>
    <col min="2" max="2" width="20" customWidth="1"/>
    <col min="3" max="3" width="18" customWidth="1"/>
    <col min="4" max="8" width="14" customWidth="1"/>
    <col min="9" max="9" width="8" customWidth="1"/>
  </cols>
  <sheetData>
    <row r="1" spans="1:9" ht="27.75" customHeight="1" x14ac:dyDescent="0.3">
      <c r="A1" s="5" t="s">
        <v>44</v>
      </c>
      <c r="B1" s="5"/>
      <c r="C1" s="5"/>
      <c r="D1" s="5"/>
      <c r="E1" s="5"/>
      <c r="F1" s="5"/>
      <c r="G1" s="5"/>
      <c r="H1" s="5"/>
      <c r="I1" s="5"/>
    </row>
    <row r="2" spans="1:9" ht="15" customHeight="1" x14ac:dyDescent="0.3">
      <c r="A2" s="4" t="s">
        <v>45</v>
      </c>
      <c r="B2" s="4"/>
      <c r="C2" s="4"/>
      <c r="D2" s="4"/>
      <c r="E2" s="4"/>
      <c r="F2" s="4"/>
      <c r="G2" s="4"/>
      <c r="H2" s="4"/>
      <c r="I2" s="4"/>
    </row>
    <row r="4" spans="1:9" ht="15" customHeight="1" x14ac:dyDescent="0.3">
      <c r="A4" s="3" t="s">
        <v>46</v>
      </c>
      <c r="B4" s="3"/>
      <c r="C4" s="3"/>
      <c r="D4" s="3"/>
      <c r="E4" s="3"/>
      <c r="F4" s="3"/>
      <c r="G4" s="3"/>
      <c r="H4" s="3"/>
      <c r="I4" s="3"/>
    </row>
    <row r="5" spans="1:9" ht="15" customHeight="1" x14ac:dyDescent="0.3">
      <c r="A5" s="20" t="s">
        <v>47</v>
      </c>
      <c r="D5" s="20" t="s">
        <v>48</v>
      </c>
      <c r="E5" s="20" t="s">
        <v>49</v>
      </c>
      <c r="F5" s="20" t="s">
        <v>50</v>
      </c>
      <c r="G5" s="20" t="s">
        <v>51</v>
      </c>
      <c r="H5" s="20" t="s">
        <v>52</v>
      </c>
    </row>
    <row r="6" spans="1:9" ht="15" customHeight="1" x14ac:dyDescent="0.3">
      <c r="A6" s="2" t="s">
        <v>53</v>
      </c>
      <c r="B6" s="2"/>
      <c r="C6" s="2"/>
      <c r="D6" s="22">
        <v>121641</v>
      </c>
      <c r="E6" s="22">
        <v>146767</v>
      </c>
      <c r="F6" s="22">
        <v>153670</v>
      </c>
      <c r="G6" s="22">
        <v>165809</v>
      </c>
      <c r="H6" s="22">
        <v>180143</v>
      </c>
    </row>
    <row r="7" spans="1:9" ht="15" customHeight="1" x14ac:dyDescent="0.3">
      <c r="A7" s="1" t="s">
        <v>54</v>
      </c>
      <c r="B7" s="1"/>
      <c r="C7" s="1"/>
      <c r="D7" s="24" t="s">
        <v>55</v>
      </c>
      <c r="E7" s="25">
        <f>(E6-D6)/D6</f>
        <v>0.20655864387829762</v>
      </c>
      <c r="F7" s="25">
        <f>(F6-E6)/E6</f>
        <v>4.7033733741236108E-2</v>
      </c>
      <c r="G7" s="25">
        <f>(G6-F6)/F6</f>
        <v>7.8993948070540776E-2</v>
      </c>
      <c r="H7" s="25">
        <f>(H6-G6)/G6</f>
        <v>8.6448865863734778E-2</v>
      </c>
    </row>
    <row r="8" spans="1:9" ht="15" customHeight="1" x14ac:dyDescent="0.3">
      <c r="A8" s="64" t="s">
        <v>56</v>
      </c>
      <c r="B8" s="64"/>
      <c r="C8" s="64"/>
      <c r="D8" s="27">
        <v>77726</v>
      </c>
      <c r="E8" s="27">
        <v>92989</v>
      </c>
      <c r="F8" s="27">
        <v>97680</v>
      </c>
      <c r="G8" s="27">
        <v>104984</v>
      </c>
      <c r="H8" s="27">
        <v>114432</v>
      </c>
    </row>
    <row r="9" spans="1:9" ht="15" customHeight="1" x14ac:dyDescent="0.3">
      <c r="A9" s="65" t="s">
        <v>57</v>
      </c>
      <c r="B9" s="65"/>
      <c r="C9" s="65"/>
      <c r="D9" s="29">
        <f>D6-D8</f>
        <v>43915</v>
      </c>
      <c r="E9" s="29">
        <f>E6-E8</f>
        <v>53778</v>
      </c>
      <c r="F9" s="29">
        <f>F6-F8</f>
        <v>55990</v>
      </c>
      <c r="G9" s="29">
        <f>G6-G8</f>
        <v>60825</v>
      </c>
      <c r="H9" s="29">
        <f>H6-H8</f>
        <v>65711</v>
      </c>
    </row>
    <row r="10" spans="1:9" ht="15" customHeight="1" x14ac:dyDescent="0.3">
      <c r="A10" s="64" t="s">
        <v>58</v>
      </c>
      <c r="B10" s="64"/>
      <c r="C10" s="64"/>
      <c r="D10" s="30">
        <f>D9/D6</f>
        <v>0.36102136615121544</v>
      </c>
      <c r="E10" s="30">
        <f>E9/E6</f>
        <v>0.36641751892455388</v>
      </c>
      <c r="F10" s="30">
        <f>F9/F6</f>
        <v>0.36435218324982105</v>
      </c>
      <c r="G10" s="30">
        <f>G9/G6</f>
        <v>0.36683774704630029</v>
      </c>
      <c r="H10" s="30">
        <f>H9/H6</f>
        <v>0.36477132056199796</v>
      </c>
    </row>
    <row r="11" spans="1:9" ht="15" customHeight="1" x14ac:dyDescent="0.3">
      <c r="A11" s="1" t="s">
        <v>59</v>
      </c>
      <c r="B11" s="1"/>
      <c r="C11" s="1"/>
      <c r="D11" s="31">
        <v>18936</v>
      </c>
      <c r="E11" s="31">
        <v>21812</v>
      </c>
      <c r="F11" s="31">
        <v>22450</v>
      </c>
      <c r="G11" s="31">
        <v>24190</v>
      </c>
      <c r="H11" s="31">
        <v>27021</v>
      </c>
    </row>
    <row r="12" spans="1:9" ht="15" customHeight="1" x14ac:dyDescent="0.3">
      <c r="A12" s="65" t="s">
        <v>60</v>
      </c>
      <c r="B12" s="65"/>
      <c r="C12" s="65"/>
      <c r="D12" s="29">
        <f>D9-D11</f>
        <v>24979</v>
      </c>
      <c r="E12" s="29">
        <f>E9-E11</f>
        <v>31966</v>
      </c>
      <c r="F12" s="29">
        <f>F9-F11</f>
        <v>33540</v>
      </c>
      <c r="G12" s="29">
        <f>G9-G11</f>
        <v>36635</v>
      </c>
      <c r="H12" s="29">
        <f>H9-H11</f>
        <v>38690</v>
      </c>
    </row>
    <row r="13" spans="1:9" ht="15" customHeight="1" x14ac:dyDescent="0.3">
      <c r="A13" s="1" t="s">
        <v>61</v>
      </c>
      <c r="B13" s="1"/>
      <c r="C13" s="1"/>
      <c r="D13" s="25">
        <f>D12/D6</f>
        <v>0.20535016976184017</v>
      </c>
      <c r="E13" s="25">
        <f>E12/E6</f>
        <v>0.21780100431295862</v>
      </c>
      <c r="F13" s="25">
        <f>F12/F6</f>
        <v>0.21825990759419536</v>
      </c>
      <c r="G13" s="25">
        <f>G12/G6</f>
        <v>0.22094699322714689</v>
      </c>
      <c r="H13" s="25">
        <f>H12/H6</f>
        <v>0.21477381857746347</v>
      </c>
    </row>
    <row r="14" spans="1:9" ht="15" customHeight="1" x14ac:dyDescent="0.3">
      <c r="A14" s="64" t="s">
        <v>62</v>
      </c>
      <c r="B14" s="64"/>
      <c r="C14" s="64"/>
      <c r="D14" s="27">
        <v>4917</v>
      </c>
      <c r="E14" s="27">
        <v>5407</v>
      </c>
      <c r="F14" s="27">
        <v>5851</v>
      </c>
      <c r="G14" s="27">
        <v>6229</v>
      </c>
      <c r="H14" s="27">
        <v>6737</v>
      </c>
    </row>
    <row r="15" spans="1:9" ht="15" customHeight="1" x14ac:dyDescent="0.3">
      <c r="A15" s="65" t="s">
        <v>63</v>
      </c>
      <c r="B15" s="65"/>
      <c r="C15" s="65"/>
      <c r="D15" s="29">
        <f>D12-D14</f>
        <v>20062</v>
      </c>
      <c r="E15" s="29">
        <f>E12-E14</f>
        <v>26559</v>
      </c>
      <c r="F15" s="29">
        <f>F12-F14</f>
        <v>27689</v>
      </c>
      <c r="G15" s="29">
        <f>G12-G14</f>
        <v>30406</v>
      </c>
      <c r="H15" s="29">
        <f>H12-H14</f>
        <v>31953</v>
      </c>
    </row>
    <row r="16" spans="1:9" ht="15" customHeight="1" x14ac:dyDescent="0.3">
      <c r="A16" s="64" t="s">
        <v>64</v>
      </c>
      <c r="B16" s="64"/>
      <c r="C16" s="64"/>
      <c r="D16" s="30">
        <f>D15/D6</f>
        <v>0.16492794370319219</v>
      </c>
      <c r="E16" s="30">
        <f>E15/E6</f>
        <v>0.18096029761458637</v>
      </c>
      <c r="F16" s="30">
        <f>F15/F6</f>
        <v>0.18018481160929264</v>
      </c>
      <c r="G16" s="30">
        <f>G15/G6</f>
        <v>0.18337967179103667</v>
      </c>
      <c r="H16" s="30">
        <f>H15/H6</f>
        <v>0.17737575148631921</v>
      </c>
    </row>
    <row r="17" spans="1:9" ht="15" customHeight="1" x14ac:dyDescent="0.3">
      <c r="A17" s="1" t="s">
        <v>65</v>
      </c>
      <c r="B17" s="1"/>
      <c r="C17" s="1"/>
      <c r="D17" s="31">
        <v>2701</v>
      </c>
      <c r="E17" s="31">
        <v>3128</v>
      </c>
      <c r="F17" s="31">
        <v>3404</v>
      </c>
      <c r="G17" s="31">
        <v>3890</v>
      </c>
      <c r="H17" s="31">
        <v>4215</v>
      </c>
    </row>
    <row r="18" spans="1:9" ht="15" customHeight="1" x14ac:dyDescent="0.3">
      <c r="A18" s="65" t="s">
        <v>66</v>
      </c>
      <c r="B18" s="65"/>
      <c r="C18" s="65"/>
      <c r="D18" s="29">
        <f>D15+D17</f>
        <v>22763</v>
      </c>
      <c r="E18" s="29">
        <f>E15+E17</f>
        <v>29687</v>
      </c>
      <c r="F18" s="29">
        <f>F15+F17</f>
        <v>31093</v>
      </c>
      <c r="G18" s="29">
        <f>G15+G17</f>
        <v>34296</v>
      </c>
      <c r="H18" s="29">
        <f>H15+H17</f>
        <v>36168</v>
      </c>
    </row>
    <row r="19" spans="1:9" ht="15" customHeight="1" x14ac:dyDescent="0.3">
      <c r="A19" s="1" t="s">
        <v>67</v>
      </c>
      <c r="B19" s="1"/>
      <c r="C19" s="1"/>
      <c r="D19" s="31">
        <v>6334</v>
      </c>
      <c r="E19" s="31">
        <v>7626</v>
      </c>
      <c r="F19" s="31">
        <v>7985</v>
      </c>
      <c r="G19" s="31">
        <v>8611</v>
      </c>
      <c r="H19" s="31">
        <v>9408</v>
      </c>
    </row>
    <row r="20" spans="1:9" ht="15" customHeight="1" x14ac:dyDescent="0.3">
      <c r="A20" s="64" t="s">
        <v>68</v>
      </c>
      <c r="B20" s="64"/>
      <c r="C20" s="64"/>
      <c r="D20" s="30">
        <f>IF(D18=0,0,D19/D18)</f>
        <v>0.27825857751614463</v>
      </c>
      <c r="E20" s="30">
        <f>IF(E18=0,0,E19/E18)</f>
        <v>0.25688011587563581</v>
      </c>
      <c r="F20" s="30">
        <f>IF(F18=0,0,F19/F18)</f>
        <v>0.25681021451773711</v>
      </c>
      <c r="G20" s="30">
        <f>IF(G18=0,0,G19/G18)</f>
        <v>0.25107884301376254</v>
      </c>
      <c r="H20" s="30">
        <f>IF(H18=0,0,H19/H18)</f>
        <v>0.26011944260119441</v>
      </c>
    </row>
    <row r="21" spans="1:9" ht="15" customHeight="1" x14ac:dyDescent="0.3">
      <c r="A21" s="65" t="s">
        <v>69</v>
      </c>
      <c r="B21" s="65"/>
      <c r="C21" s="65"/>
      <c r="D21" s="29">
        <f>D18-D19</f>
        <v>16429</v>
      </c>
      <c r="E21" s="29">
        <f>E18-E19</f>
        <v>22061</v>
      </c>
      <c r="F21" s="29">
        <f>F18-F19</f>
        <v>23108</v>
      </c>
      <c r="G21" s="29">
        <f>G18-G19</f>
        <v>25685</v>
      </c>
      <c r="H21" s="29">
        <f>H18-H19</f>
        <v>26760</v>
      </c>
    </row>
    <row r="22" spans="1:9" ht="15" customHeight="1" x14ac:dyDescent="0.3">
      <c r="A22" s="64" t="s">
        <v>70</v>
      </c>
      <c r="B22" s="64"/>
      <c r="C22" s="64"/>
      <c r="D22" s="30">
        <f>D21/D6</f>
        <v>0.1350613691107439</v>
      </c>
      <c r="E22" s="30">
        <f>E21/E6</f>
        <v>0.15031308127848902</v>
      </c>
      <c r="F22" s="30">
        <f>F21/F6</f>
        <v>0.15037417843430728</v>
      </c>
      <c r="G22" s="30">
        <f>G21/G6</f>
        <v>0.1549071522052482</v>
      </c>
      <c r="H22" s="30">
        <f>H21/H6</f>
        <v>0.14854865301454956</v>
      </c>
    </row>
    <row r="23" spans="1:9" ht="15" customHeight="1" x14ac:dyDescent="0.3">
      <c r="A23" s="65" t="s">
        <v>71</v>
      </c>
      <c r="B23" s="65"/>
      <c r="C23" s="65"/>
      <c r="D23" s="29">
        <f>D15*(1-D20)</f>
        <v>14479.576417871107</v>
      </c>
      <c r="E23" s="29">
        <f>E15*(1-E20)</f>
        <v>19736.521002458991</v>
      </c>
      <c r="F23" s="29">
        <f>F15*(1-F20)</f>
        <v>20578.181970218378</v>
      </c>
      <c r="G23" s="29">
        <f>G15*(1-G20)</f>
        <v>22771.696699323536</v>
      </c>
      <c r="H23" s="29">
        <f>H15*(1-H20)</f>
        <v>23641.403450564037</v>
      </c>
    </row>
    <row r="26" spans="1:9" ht="15" customHeight="1" x14ac:dyDescent="0.3">
      <c r="A26" s="3" t="s">
        <v>72</v>
      </c>
      <c r="B26" s="3"/>
      <c r="C26" s="3"/>
      <c r="D26" s="3"/>
      <c r="E26" s="3"/>
      <c r="F26" s="3"/>
      <c r="G26" s="3"/>
      <c r="H26" s="3"/>
      <c r="I26" s="3"/>
    </row>
    <row r="27" spans="1:9" ht="15" customHeight="1" x14ac:dyDescent="0.3">
      <c r="A27" s="20" t="s">
        <v>47</v>
      </c>
      <c r="D27" s="20" t="s">
        <v>48</v>
      </c>
      <c r="E27" s="20" t="s">
        <v>49</v>
      </c>
      <c r="F27" s="20" t="s">
        <v>50</v>
      </c>
      <c r="G27" s="20" t="s">
        <v>51</v>
      </c>
      <c r="H27" s="20" t="s">
        <v>52</v>
      </c>
    </row>
    <row r="28" spans="1:9" ht="15" customHeight="1" x14ac:dyDescent="0.3">
      <c r="A28" s="64" t="s">
        <v>73</v>
      </c>
      <c r="B28" s="64"/>
      <c r="C28" s="64"/>
      <c r="D28" s="27">
        <v>16278</v>
      </c>
      <c r="E28" s="27">
        <v>14721</v>
      </c>
      <c r="F28" s="27">
        <v>13839</v>
      </c>
      <c r="G28" s="27">
        <v>14298</v>
      </c>
      <c r="H28" s="27">
        <v>15450</v>
      </c>
    </row>
    <row r="29" spans="1:9" ht="15" customHeight="1" x14ac:dyDescent="0.3">
      <c r="A29" s="1" t="s">
        <v>74</v>
      </c>
      <c r="B29" s="1"/>
      <c r="C29" s="1"/>
      <c r="D29" s="31">
        <v>18203</v>
      </c>
      <c r="E29" s="31">
        <v>21876</v>
      </c>
      <c r="F29" s="31">
        <v>22451</v>
      </c>
      <c r="G29" s="31">
        <v>23904</v>
      </c>
      <c r="H29" s="31">
        <v>25897</v>
      </c>
    </row>
    <row r="30" spans="1:9" ht="15" customHeight="1" x14ac:dyDescent="0.3">
      <c r="A30" s="64" t="s">
        <v>75</v>
      </c>
      <c r="B30" s="64"/>
      <c r="C30" s="64"/>
      <c r="D30" s="27">
        <v>12403</v>
      </c>
      <c r="E30" s="27">
        <v>14221</v>
      </c>
      <c r="F30" s="27">
        <v>15110</v>
      </c>
      <c r="G30" s="27">
        <v>16342</v>
      </c>
      <c r="H30" s="27">
        <v>17821</v>
      </c>
    </row>
    <row r="31" spans="1:9" ht="15" customHeight="1" x14ac:dyDescent="0.3">
      <c r="A31" s="65" t="s">
        <v>76</v>
      </c>
      <c r="B31" s="65"/>
      <c r="C31" s="65"/>
      <c r="D31" s="29">
        <f>D28+D29+D30</f>
        <v>46884</v>
      </c>
      <c r="E31" s="29">
        <f>E28+E29+E30</f>
        <v>50818</v>
      </c>
      <c r="F31" s="29">
        <f>F28+F29+F30</f>
        <v>51400</v>
      </c>
      <c r="G31" s="29">
        <f>G28+G29+G30</f>
        <v>54544</v>
      </c>
      <c r="H31" s="29">
        <f>H28+H29+H30</f>
        <v>59168</v>
      </c>
    </row>
    <row r="32" spans="1:9" ht="15" customHeight="1" x14ac:dyDescent="0.3">
      <c r="A32" s="64" t="s">
        <v>77</v>
      </c>
      <c r="B32" s="64"/>
      <c r="C32" s="64"/>
      <c r="D32" s="27">
        <v>4312</v>
      </c>
      <c r="E32" s="27">
        <v>5102</v>
      </c>
      <c r="F32" s="27">
        <v>5389</v>
      </c>
      <c r="G32" s="27">
        <v>5921</v>
      </c>
      <c r="H32" s="27">
        <v>6432</v>
      </c>
    </row>
    <row r="33" spans="1:9" ht="15" customHeight="1" x14ac:dyDescent="0.3">
      <c r="A33" s="1" t="s">
        <v>78</v>
      </c>
      <c r="B33" s="1"/>
      <c r="C33" s="1"/>
      <c r="D33" s="31">
        <v>14823</v>
      </c>
      <c r="E33" s="31">
        <v>17432</v>
      </c>
      <c r="F33" s="31">
        <v>18241</v>
      </c>
      <c r="G33" s="31">
        <v>19832</v>
      </c>
      <c r="H33" s="31">
        <v>21455</v>
      </c>
    </row>
    <row r="34" spans="1:9" ht="15" customHeight="1" x14ac:dyDescent="0.3">
      <c r="A34" s="65" t="s">
        <v>79</v>
      </c>
      <c r="B34" s="65"/>
      <c r="C34" s="65"/>
      <c r="D34" s="29">
        <f>D32+D33</f>
        <v>19135</v>
      </c>
      <c r="E34" s="29">
        <f>E32+E33</f>
        <v>22534</v>
      </c>
      <c r="F34" s="29">
        <f>F32+F33</f>
        <v>23630</v>
      </c>
      <c r="G34" s="29">
        <f>G32+G33</f>
        <v>25753</v>
      </c>
      <c r="H34" s="29">
        <f>H32+H33</f>
        <v>27887</v>
      </c>
    </row>
    <row r="35" spans="1:9" ht="15" customHeight="1" x14ac:dyDescent="0.3">
      <c r="A35" s="65" t="s">
        <v>80</v>
      </c>
      <c r="B35" s="65"/>
      <c r="C35" s="65"/>
      <c r="D35" s="29">
        <f>D31-D34-D28</f>
        <v>11471</v>
      </c>
      <c r="E35" s="29">
        <f>E31-E34-E28</f>
        <v>13563</v>
      </c>
      <c r="F35" s="29">
        <f>F31-F34-F28</f>
        <v>13931</v>
      </c>
      <c r="G35" s="29">
        <f>G31-G34-G28</f>
        <v>14493</v>
      </c>
      <c r="H35" s="29">
        <f>H31-H34-H28</f>
        <v>15831</v>
      </c>
    </row>
    <row r="36" spans="1:9" ht="15" customHeight="1" x14ac:dyDescent="0.3">
      <c r="A36" s="65" t="s">
        <v>81</v>
      </c>
      <c r="B36" s="65"/>
      <c r="C36" s="65"/>
      <c r="D36" s="32">
        <f>D35/D6</f>
        <v>9.4302085645464939E-2</v>
      </c>
      <c r="E36" s="32">
        <f>E35/E6</f>
        <v>9.24117819400819E-2</v>
      </c>
      <c r="F36" s="32">
        <f>F35/F6</f>
        <v>9.0655300318865095E-2</v>
      </c>
      <c r="G36" s="32">
        <f>G35/G6</f>
        <v>8.7407800541587005E-2</v>
      </c>
      <c r="H36" s="32">
        <f>H35/H6</f>
        <v>8.788018407598408E-2</v>
      </c>
    </row>
    <row r="37" spans="1:9" ht="15" customHeight="1" x14ac:dyDescent="0.3">
      <c r="A37" s="1" t="s">
        <v>82</v>
      </c>
      <c r="B37" s="1"/>
      <c r="C37" s="1"/>
      <c r="D37" s="31">
        <v>19823</v>
      </c>
      <c r="E37" s="31">
        <v>21042</v>
      </c>
      <c r="F37" s="31">
        <v>22134</v>
      </c>
      <c r="G37" s="31">
        <v>23187</v>
      </c>
      <c r="H37" s="31">
        <v>24102</v>
      </c>
    </row>
    <row r="38" spans="1:9" ht="15" customHeight="1" x14ac:dyDescent="0.3">
      <c r="A38" s="64" t="s">
        <v>83</v>
      </c>
      <c r="B38" s="64"/>
      <c r="C38" s="64"/>
      <c r="D38" s="27">
        <v>3421</v>
      </c>
      <c r="E38" s="27">
        <v>3218</v>
      </c>
      <c r="F38" s="27">
        <v>4102</v>
      </c>
      <c r="G38" s="27">
        <v>3984</v>
      </c>
      <c r="H38" s="27">
        <v>3741</v>
      </c>
    </row>
    <row r="39" spans="1:9" ht="15" customHeight="1" x14ac:dyDescent="0.3">
      <c r="A39" s="1" t="s">
        <v>84</v>
      </c>
      <c r="B39" s="1"/>
      <c r="C39" s="1"/>
      <c r="D39" s="31">
        <v>71462</v>
      </c>
      <c r="E39" s="31">
        <v>76821</v>
      </c>
      <c r="F39" s="31">
        <v>79034</v>
      </c>
      <c r="G39" s="31">
        <v>82341</v>
      </c>
      <c r="H39" s="31">
        <v>86742</v>
      </c>
    </row>
    <row r="42" spans="1:9" ht="15" customHeight="1" x14ac:dyDescent="0.3">
      <c r="A42" s="3" t="s">
        <v>85</v>
      </c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3">
      <c r="A43" s="20" t="s">
        <v>47</v>
      </c>
      <c r="D43" s="20" t="s">
        <v>48</v>
      </c>
      <c r="E43" s="20" t="s">
        <v>49</v>
      </c>
      <c r="F43" s="20" t="s">
        <v>50</v>
      </c>
      <c r="G43" s="20" t="s">
        <v>51</v>
      </c>
      <c r="H43" s="20" t="s">
        <v>52</v>
      </c>
    </row>
    <row r="44" spans="1:9" ht="15" customHeight="1" x14ac:dyDescent="0.3">
      <c r="A44" s="64" t="s">
        <v>86</v>
      </c>
      <c r="B44" s="64"/>
      <c r="C44" s="64"/>
      <c r="D44" s="27">
        <v>25842</v>
      </c>
      <c r="E44" s="27">
        <v>28734</v>
      </c>
      <c r="F44" s="27">
        <v>30102</v>
      </c>
      <c r="G44" s="27">
        <v>32145</v>
      </c>
      <c r="H44" s="27">
        <v>34892</v>
      </c>
    </row>
    <row r="45" spans="1:9" ht="15" customHeight="1" x14ac:dyDescent="0.3">
      <c r="A45" s="1" t="s">
        <v>87</v>
      </c>
      <c r="B45" s="1"/>
      <c r="C45" s="1"/>
      <c r="D45" s="31">
        <v>5834</v>
      </c>
      <c r="E45" s="31">
        <v>6102</v>
      </c>
      <c r="F45" s="31">
        <v>6241</v>
      </c>
      <c r="G45" s="31">
        <v>6832</v>
      </c>
      <c r="H45" s="31">
        <v>7124</v>
      </c>
    </row>
    <row r="46" spans="1:9" ht="15" customHeight="1" x14ac:dyDescent="0.3">
      <c r="A46" s="64" t="s">
        <v>88</v>
      </c>
      <c r="B46" s="64"/>
      <c r="C46" s="64"/>
      <c r="D46" s="30">
        <f>D45/D6</f>
        <v>4.7960802689882523E-2</v>
      </c>
      <c r="E46" s="30">
        <f>E45/E6</f>
        <v>4.1576103620023577E-2</v>
      </c>
      <c r="F46" s="30">
        <f>F45/F6</f>
        <v>4.0613001887160799E-2</v>
      </c>
      <c r="G46" s="30">
        <f>G45/G6</f>
        <v>4.1204035969096976E-2</v>
      </c>
      <c r="H46" s="30">
        <f>H45/H6</f>
        <v>3.9546360391466778E-2</v>
      </c>
    </row>
    <row r="47" spans="1:9" ht="15" customHeight="1" x14ac:dyDescent="0.3">
      <c r="A47" s="1" t="s">
        <v>89</v>
      </c>
      <c r="B47" s="1"/>
      <c r="C47" s="1"/>
      <c r="D47" s="25">
        <f>D14/D6</f>
        <v>4.0422226058647988E-2</v>
      </c>
      <c r="E47" s="25">
        <f>E14/E6</f>
        <v>3.684070669837225E-2</v>
      </c>
      <c r="F47" s="25">
        <f>F14/F6</f>
        <v>3.8075095984902711E-2</v>
      </c>
      <c r="G47" s="25">
        <f>G14/G6</f>
        <v>3.7567321436110225E-2</v>
      </c>
      <c r="H47" s="25">
        <f>H14/H6</f>
        <v>3.7398067091144259E-2</v>
      </c>
    </row>
    <row r="48" spans="1:9" ht="15" customHeight="1" x14ac:dyDescent="0.3">
      <c r="A48" s="65" t="s">
        <v>90</v>
      </c>
      <c r="B48" s="65"/>
      <c r="C48" s="65"/>
      <c r="D48" s="29">
        <f>D44-D45</f>
        <v>20008</v>
      </c>
      <c r="E48" s="29">
        <f>E44-E45</f>
        <v>22632</v>
      </c>
      <c r="F48" s="29">
        <f>F44-F45</f>
        <v>23861</v>
      </c>
      <c r="G48" s="29">
        <f>G44-G45</f>
        <v>25313</v>
      </c>
      <c r="H48" s="29">
        <f>H44-H45</f>
        <v>27768</v>
      </c>
    </row>
  </sheetData>
  <mergeCells count="40">
    <mergeCell ref="A44:C44"/>
    <mergeCell ref="A45:C45"/>
    <mergeCell ref="A46:C46"/>
    <mergeCell ref="A47:C47"/>
    <mergeCell ref="A48:C48"/>
    <mergeCell ref="A36:C36"/>
    <mergeCell ref="A37:C37"/>
    <mergeCell ref="A38:C38"/>
    <mergeCell ref="A39:C39"/>
    <mergeCell ref="A42:I42"/>
    <mergeCell ref="A31:C31"/>
    <mergeCell ref="A32:C32"/>
    <mergeCell ref="A33:C33"/>
    <mergeCell ref="A34:C34"/>
    <mergeCell ref="A35:C35"/>
    <mergeCell ref="A23:C23"/>
    <mergeCell ref="A26:I26"/>
    <mergeCell ref="A28:C28"/>
    <mergeCell ref="A29:C29"/>
    <mergeCell ref="A30:C30"/>
    <mergeCell ref="A18:C18"/>
    <mergeCell ref="A19:C19"/>
    <mergeCell ref="A20:C20"/>
    <mergeCell ref="A21:C21"/>
    <mergeCell ref="A22:C22"/>
    <mergeCell ref="A13:C13"/>
    <mergeCell ref="A14:C14"/>
    <mergeCell ref="A15:C15"/>
    <mergeCell ref="A16:C16"/>
    <mergeCell ref="A17:C17"/>
    <mergeCell ref="A8:C8"/>
    <mergeCell ref="A9:C9"/>
    <mergeCell ref="A10:C10"/>
    <mergeCell ref="A11:C11"/>
    <mergeCell ref="A12:C12"/>
    <mergeCell ref="A1:I1"/>
    <mergeCell ref="A2:I2"/>
    <mergeCell ref="A4:I4"/>
    <mergeCell ref="A6:C6"/>
    <mergeCell ref="A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J29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1"/>
    </sheetView>
  </sheetViews>
  <sheetFormatPr defaultColWidth="8.6640625" defaultRowHeight="14.4" x14ac:dyDescent="0.3"/>
  <cols>
    <col min="1" max="1" width="28" customWidth="1"/>
    <col min="2" max="2" width="22" customWidth="1"/>
    <col min="3" max="3" width="12" customWidth="1"/>
    <col min="4" max="5" width="22" customWidth="1"/>
    <col min="6" max="8" width="12" customWidth="1"/>
    <col min="9" max="9" width="20" customWidth="1"/>
    <col min="10" max="10" width="40" customWidth="1"/>
  </cols>
  <sheetData>
    <row r="1" spans="1:10" ht="27.75" customHeight="1" x14ac:dyDescent="0.3">
      <c r="A1" s="5" t="s">
        <v>91</v>
      </c>
      <c r="B1" s="5"/>
      <c r="C1" s="5"/>
      <c r="D1" s="5"/>
      <c r="E1" s="5"/>
      <c r="F1" s="5"/>
      <c r="G1" s="5"/>
      <c r="H1" s="5"/>
      <c r="I1" s="5"/>
      <c r="J1" s="5"/>
    </row>
    <row r="3" spans="1:10" ht="15" customHeight="1" x14ac:dyDescent="0.3">
      <c r="A3" s="3" t="s">
        <v>92</v>
      </c>
      <c r="B3" s="3"/>
      <c r="C3" s="3"/>
      <c r="D3" s="3"/>
      <c r="E3" s="3"/>
      <c r="F3" s="3"/>
      <c r="G3" s="3"/>
      <c r="H3" s="3"/>
      <c r="I3" s="3"/>
      <c r="J3" s="3"/>
    </row>
    <row r="4" spans="1:10" ht="15" customHeight="1" x14ac:dyDescent="0.3">
      <c r="A4" s="33" t="s">
        <v>93</v>
      </c>
      <c r="B4" s="33" t="s">
        <v>94</v>
      </c>
      <c r="D4" s="33" t="s">
        <v>95</v>
      </c>
      <c r="E4" s="33" t="s">
        <v>96</v>
      </c>
      <c r="F4" s="33" t="s">
        <v>97</v>
      </c>
      <c r="G4" s="33" t="s">
        <v>98</v>
      </c>
      <c r="H4" s="33" t="s">
        <v>99</v>
      </c>
      <c r="I4" s="33" t="s">
        <v>100</v>
      </c>
      <c r="J4" s="33" t="s">
        <v>101</v>
      </c>
    </row>
    <row r="5" spans="1:10" ht="15" customHeight="1" x14ac:dyDescent="0.3">
      <c r="A5" s="34" t="s">
        <v>102</v>
      </c>
      <c r="B5" s="35" t="s">
        <v>103</v>
      </c>
      <c r="D5" s="36">
        <v>0.1</v>
      </c>
      <c r="E5" s="36">
        <v>9.5000000000000001E-2</v>
      </c>
      <c r="F5" s="36">
        <v>0.09</v>
      </c>
      <c r="G5" s="36">
        <v>8.5000000000000006E-2</v>
      </c>
      <c r="H5" s="36">
        <v>0.08</v>
      </c>
      <c r="I5" s="66" t="s">
        <v>104</v>
      </c>
      <c r="J5" s="66"/>
    </row>
    <row r="7" spans="1:10" ht="15" customHeight="1" x14ac:dyDescent="0.3">
      <c r="A7" s="3" t="s">
        <v>105</v>
      </c>
      <c r="B7" s="3"/>
      <c r="C7" s="3"/>
      <c r="D7" s="3"/>
      <c r="E7" s="3"/>
      <c r="F7" s="3"/>
      <c r="G7" s="3"/>
      <c r="H7" s="3"/>
      <c r="I7" s="3"/>
      <c r="J7" s="3"/>
    </row>
    <row r="8" spans="1:10" ht="15" customHeight="1" x14ac:dyDescent="0.3">
      <c r="A8" s="33" t="s">
        <v>93</v>
      </c>
      <c r="B8" s="33" t="s">
        <v>94</v>
      </c>
      <c r="D8" s="33" t="s">
        <v>95</v>
      </c>
      <c r="E8" s="33" t="s">
        <v>96</v>
      </c>
      <c r="F8" s="33" t="s">
        <v>97</v>
      </c>
      <c r="G8" s="33" t="s">
        <v>98</v>
      </c>
      <c r="H8" s="33" t="s">
        <v>99</v>
      </c>
      <c r="I8" s="33" t="s">
        <v>100</v>
      </c>
      <c r="J8" s="33" t="s">
        <v>101</v>
      </c>
    </row>
    <row r="9" spans="1:10" ht="15" customHeight="1" x14ac:dyDescent="0.3">
      <c r="A9" s="37" t="s">
        <v>64</v>
      </c>
      <c r="B9" s="23" t="s">
        <v>106</v>
      </c>
      <c r="D9" s="36">
        <v>0.23</v>
      </c>
      <c r="E9" s="36">
        <v>0.23200000000000001</v>
      </c>
      <c r="F9" s="36">
        <v>0.23400000000000001</v>
      </c>
      <c r="G9" s="36">
        <v>0.23599999999999999</v>
      </c>
      <c r="H9" s="36">
        <v>0.23799999999999999</v>
      </c>
    </row>
    <row r="10" spans="1:10" ht="15" customHeight="1" x14ac:dyDescent="0.3">
      <c r="A10" s="21" t="s">
        <v>68</v>
      </c>
      <c r="B10" s="26" t="s">
        <v>106</v>
      </c>
      <c r="D10" s="36">
        <v>0.26100000000000001</v>
      </c>
      <c r="E10" s="36">
        <v>0.26100000000000001</v>
      </c>
      <c r="F10" s="36">
        <v>0.26100000000000001</v>
      </c>
      <c r="G10" s="36">
        <v>0.26100000000000001</v>
      </c>
      <c r="H10" s="36">
        <v>0.26100000000000001</v>
      </c>
    </row>
    <row r="11" spans="1:10" ht="15" customHeight="1" x14ac:dyDescent="0.3">
      <c r="A11" s="37" t="s">
        <v>89</v>
      </c>
      <c r="B11" s="23" t="s">
        <v>106</v>
      </c>
      <c r="D11" s="36">
        <v>3.7999999999999999E-2</v>
      </c>
      <c r="E11" s="36">
        <v>3.6999999999999998E-2</v>
      </c>
      <c r="F11" s="36">
        <v>3.6999999999999998E-2</v>
      </c>
      <c r="G11" s="36">
        <v>3.5999999999999997E-2</v>
      </c>
      <c r="H11" s="36">
        <v>3.5999999999999997E-2</v>
      </c>
    </row>
    <row r="12" spans="1:10" ht="15" customHeight="1" x14ac:dyDescent="0.3">
      <c r="A12" s="21" t="s">
        <v>88</v>
      </c>
      <c r="B12" s="26" t="s">
        <v>106</v>
      </c>
      <c r="D12" s="36">
        <v>0.04</v>
      </c>
      <c r="E12" s="36">
        <v>3.9E-2</v>
      </c>
      <c r="F12" s="36">
        <v>3.7999999999999999E-2</v>
      </c>
      <c r="G12" s="36">
        <v>3.6999999999999998E-2</v>
      </c>
      <c r="H12" s="36">
        <v>3.5999999999999997E-2</v>
      </c>
    </row>
    <row r="13" spans="1:10" ht="15" customHeight="1" x14ac:dyDescent="0.3">
      <c r="A13" s="37" t="s">
        <v>81</v>
      </c>
      <c r="B13" s="23" t="s">
        <v>106</v>
      </c>
      <c r="D13" s="36">
        <v>7.4999999999999997E-2</v>
      </c>
      <c r="E13" s="36">
        <v>7.4999999999999997E-2</v>
      </c>
      <c r="F13" s="36">
        <v>7.3999999999999996E-2</v>
      </c>
      <c r="G13" s="36">
        <v>7.3999999999999996E-2</v>
      </c>
      <c r="H13" s="36">
        <v>7.2999999999999995E-2</v>
      </c>
    </row>
    <row r="15" spans="1:10" ht="15" customHeight="1" x14ac:dyDescent="0.3">
      <c r="A15" s="3" t="s">
        <v>107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ht="15" customHeight="1" x14ac:dyDescent="0.3">
      <c r="A16" s="33" t="s">
        <v>108</v>
      </c>
      <c r="B16" s="33" t="s">
        <v>109</v>
      </c>
      <c r="C16" s="33" t="s">
        <v>110</v>
      </c>
      <c r="D16" s="33" t="s">
        <v>111</v>
      </c>
      <c r="E16" s="33"/>
    </row>
    <row r="17" spans="1:4" ht="15" customHeight="1" x14ac:dyDescent="0.3">
      <c r="A17" s="23" t="s">
        <v>112</v>
      </c>
      <c r="B17" s="23" t="s">
        <v>113</v>
      </c>
      <c r="C17" s="38">
        <v>7.0999999999999994E-2</v>
      </c>
      <c r="D17" s="23" t="s">
        <v>113</v>
      </c>
    </row>
    <row r="18" spans="1:4" ht="15" customHeight="1" x14ac:dyDescent="0.3">
      <c r="A18" s="26" t="s">
        <v>114</v>
      </c>
      <c r="B18" s="26" t="s">
        <v>115</v>
      </c>
      <c r="C18" s="38">
        <v>7.8E-2</v>
      </c>
      <c r="D18" s="26" t="s">
        <v>115</v>
      </c>
    </row>
    <row r="19" spans="1:4" ht="15" customHeight="1" x14ac:dyDescent="0.3">
      <c r="A19" s="23" t="s">
        <v>116</v>
      </c>
      <c r="B19" s="23" t="s">
        <v>117</v>
      </c>
      <c r="C19" s="38">
        <v>0.85</v>
      </c>
      <c r="D19" s="23" t="s">
        <v>117</v>
      </c>
    </row>
    <row r="20" spans="1:4" ht="15" customHeight="1" x14ac:dyDescent="0.3">
      <c r="A20" s="26" t="s">
        <v>118</v>
      </c>
      <c r="B20" s="26" t="s">
        <v>119</v>
      </c>
      <c r="C20" s="39">
        <f>C17+C19*C18</f>
        <v>0.13729999999999998</v>
      </c>
      <c r="D20" s="26" t="s">
        <v>120</v>
      </c>
    </row>
    <row r="21" spans="1:4" ht="15" customHeight="1" x14ac:dyDescent="0.3">
      <c r="A21" s="23" t="s">
        <v>121</v>
      </c>
      <c r="B21" s="23" t="s">
        <v>122</v>
      </c>
      <c r="C21" s="38">
        <v>8.2000000000000003E-2</v>
      </c>
      <c r="D21" s="23" t="s">
        <v>122</v>
      </c>
    </row>
    <row r="22" spans="1:4" ht="15" customHeight="1" x14ac:dyDescent="0.3">
      <c r="A22" s="26" t="s">
        <v>123</v>
      </c>
      <c r="B22" s="26" t="s">
        <v>124</v>
      </c>
      <c r="C22" s="38">
        <v>0.26100000000000001</v>
      </c>
      <c r="D22" s="26" t="s">
        <v>124</v>
      </c>
    </row>
    <row r="23" spans="1:4" ht="15" customHeight="1" x14ac:dyDescent="0.3">
      <c r="A23" s="23" t="s">
        <v>125</v>
      </c>
      <c r="B23" s="23" t="s">
        <v>126</v>
      </c>
      <c r="C23" s="40">
        <f>C21*(1-C22)</f>
        <v>6.0597999999999999E-2</v>
      </c>
      <c r="D23" s="23" t="s">
        <v>127</v>
      </c>
    </row>
    <row r="24" spans="1:4" ht="15" customHeight="1" x14ac:dyDescent="0.3">
      <c r="A24" s="26" t="s">
        <v>128</v>
      </c>
      <c r="B24" s="26" t="s">
        <v>129</v>
      </c>
      <c r="C24" s="41">
        <v>614200</v>
      </c>
      <c r="D24" s="26" t="s">
        <v>129</v>
      </c>
    </row>
    <row r="25" spans="1:4" ht="15" customHeight="1" x14ac:dyDescent="0.3">
      <c r="A25" s="23" t="s">
        <v>130</v>
      </c>
      <c r="B25" s="23" t="s">
        <v>131</v>
      </c>
      <c r="C25" s="41">
        <v>3741</v>
      </c>
      <c r="D25" s="23" t="s">
        <v>131</v>
      </c>
    </row>
    <row r="26" spans="1:4" ht="15" customHeight="1" x14ac:dyDescent="0.3">
      <c r="A26" s="26" t="s">
        <v>132</v>
      </c>
      <c r="B26" s="26" t="s">
        <v>133</v>
      </c>
      <c r="C26" s="42">
        <f>C24/(C24+C25)</f>
        <v>0.99394602397316245</v>
      </c>
      <c r="D26" s="26" t="s">
        <v>134</v>
      </c>
    </row>
    <row r="27" spans="1:4" ht="15" customHeight="1" x14ac:dyDescent="0.3">
      <c r="A27" s="23" t="s">
        <v>135</v>
      </c>
      <c r="B27" s="23" t="s">
        <v>136</v>
      </c>
      <c r="C27" s="43">
        <f>C25/(C24+C25)</f>
        <v>6.053976026837514E-3</v>
      </c>
      <c r="D27" s="23" t="s">
        <v>137</v>
      </c>
    </row>
    <row r="28" spans="1:4" ht="15" customHeight="1" x14ac:dyDescent="0.3">
      <c r="A28" s="28" t="s">
        <v>138</v>
      </c>
      <c r="B28" s="44" t="s">
        <v>139</v>
      </c>
      <c r="C28" s="45">
        <f>C26*C20+C27*C23</f>
        <v>0.13683564793078948</v>
      </c>
      <c r="D28" s="44" t="s">
        <v>140</v>
      </c>
    </row>
    <row r="29" spans="1:4" ht="15" customHeight="1" x14ac:dyDescent="0.3">
      <c r="A29" s="23" t="s">
        <v>141</v>
      </c>
      <c r="B29" s="23" t="s">
        <v>142</v>
      </c>
      <c r="C29" s="38">
        <v>5.5E-2</v>
      </c>
      <c r="D29" s="23" t="s">
        <v>142</v>
      </c>
    </row>
  </sheetData>
  <mergeCells count="5">
    <mergeCell ref="A1:J1"/>
    <mergeCell ref="A3:J3"/>
    <mergeCell ref="I5:J5"/>
    <mergeCell ref="A7:J7"/>
    <mergeCell ref="A15:J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3F98"/>
  </sheetPr>
  <dimension ref="A1:J1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J1"/>
    </sheetView>
  </sheetViews>
  <sheetFormatPr defaultColWidth="8.6640625" defaultRowHeight="14.4" x14ac:dyDescent="0.3"/>
  <cols>
    <col min="1" max="1" width="1" customWidth="1"/>
    <col min="2" max="2" width="22" customWidth="1"/>
    <col min="3" max="3" width="16" customWidth="1"/>
    <col min="4" max="8" width="14" customWidth="1"/>
    <col min="9" max="9" width="8" customWidth="1"/>
  </cols>
  <sheetData>
    <row r="1" spans="1:10" ht="27.75" customHeight="1" x14ac:dyDescent="0.3">
      <c r="A1" s="5" t="s">
        <v>143</v>
      </c>
      <c r="B1" s="5"/>
      <c r="C1" s="5"/>
      <c r="D1" s="5"/>
      <c r="E1" s="5"/>
      <c r="F1" s="5"/>
      <c r="G1" s="5"/>
      <c r="H1" s="5"/>
      <c r="I1" s="5"/>
      <c r="J1" s="5"/>
    </row>
    <row r="2" spans="1:10" ht="15" customHeight="1" x14ac:dyDescent="0.3">
      <c r="A2" s="4" t="s">
        <v>144</v>
      </c>
      <c r="B2" s="4"/>
      <c r="C2" s="4"/>
      <c r="D2" s="4"/>
      <c r="E2" s="4"/>
      <c r="F2" s="4"/>
      <c r="G2" s="4"/>
      <c r="H2" s="4"/>
      <c r="I2" s="4"/>
      <c r="J2" s="4"/>
    </row>
    <row r="4" spans="1:10" ht="15" customHeight="1" x14ac:dyDescent="0.3">
      <c r="A4" s="67" t="s">
        <v>47</v>
      </c>
      <c r="B4" s="67"/>
      <c r="C4" s="67"/>
      <c r="D4" s="46" t="s">
        <v>95</v>
      </c>
      <c r="E4" s="46" t="s">
        <v>96</v>
      </c>
      <c r="F4" s="46" t="s">
        <v>97</v>
      </c>
      <c r="G4" s="46" t="s">
        <v>98</v>
      </c>
      <c r="H4" s="46" t="s">
        <v>99</v>
      </c>
    </row>
    <row r="5" spans="1:10" ht="15" customHeight="1" x14ac:dyDescent="0.3">
      <c r="A5" s="68" t="s">
        <v>145</v>
      </c>
      <c r="B5" s="68"/>
      <c r="C5" s="68"/>
      <c r="D5" s="68"/>
      <c r="E5" s="68"/>
      <c r="F5" s="68"/>
      <c r="G5" s="68"/>
      <c r="H5" s="68"/>
      <c r="I5" s="68"/>
    </row>
    <row r="6" spans="1:10" ht="15" customHeight="1" x14ac:dyDescent="0.3">
      <c r="A6" s="2" t="s">
        <v>53</v>
      </c>
      <c r="B6" s="2"/>
      <c r="C6" s="2"/>
      <c r="D6" s="47">
        <f>'Historical Financials'!H6*(1+Assumptions!D5)</f>
        <v>198157.30000000002</v>
      </c>
      <c r="E6" s="48">
        <f>D6*(1+Assumptions!E5)</f>
        <v>216982.24350000001</v>
      </c>
      <c r="F6" s="48">
        <f>E6*(1+Assumptions!F5)</f>
        <v>236510.64541500004</v>
      </c>
      <c r="G6" s="48">
        <f>F6*(1+Assumptions!G5)</f>
        <v>256614.05027527502</v>
      </c>
      <c r="H6" s="48">
        <f>G6*(1+Assumptions!H5)</f>
        <v>277143.17429729702</v>
      </c>
    </row>
    <row r="7" spans="1:10" ht="15" customHeight="1" x14ac:dyDescent="0.3">
      <c r="A7" s="1" t="s">
        <v>54</v>
      </c>
      <c r="B7" s="1"/>
      <c r="C7" s="1"/>
      <c r="D7" s="49">
        <f>Assumptions!D5</f>
        <v>0.1</v>
      </c>
      <c r="E7" s="49">
        <f>Assumptions!E5</f>
        <v>9.5000000000000001E-2</v>
      </c>
      <c r="F7" s="49">
        <f>Assumptions!F5</f>
        <v>0.09</v>
      </c>
      <c r="G7" s="49">
        <f>Assumptions!G5</f>
        <v>8.5000000000000006E-2</v>
      </c>
      <c r="H7" s="49">
        <f>Assumptions!H5</f>
        <v>0.08</v>
      </c>
    </row>
    <row r="8" spans="1:10" ht="15" customHeight="1" x14ac:dyDescent="0.3">
      <c r="A8" s="2" t="s">
        <v>63</v>
      </c>
      <c r="B8" s="2"/>
      <c r="C8" s="2"/>
      <c r="D8" s="50">
        <f>D6*Assumptions!D9</f>
        <v>45576.179000000004</v>
      </c>
      <c r="E8" s="50">
        <f>E6*Assumptions!E9</f>
        <v>50339.880492000004</v>
      </c>
      <c r="F8" s="50">
        <f>F6*Assumptions!F9</f>
        <v>55343.491027110009</v>
      </c>
      <c r="G8" s="50">
        <f>G6*Assumptions!G9</f>
        <v>60560.915864964903</v>
      </c>
      <c r="H8" s="50">
        <f>H6*Assumptions!H9</f>
        <v>65960.075482756685</v>
      </c>
    </row>
    <row r="9" spans="1:10" ht="15" customHeight="1" x14ac:dyDescent="0.3">
      <c r="A9" s="1" t="s">
        <v>64</v>
      </c>
      <c r="B9" s="1"/>
      <c r="C9" s="1"/>
      <c r="D9" s="49">
        <f>Assumptions!D9</f>
        <v>0.23</v>
      </c>
      <c r="E9" s="49">
        <f>Assumptions!E9</f>
        <v>0.23200000000000001</v>
      </c>
      <c r="F9" s="49">
        <f>Assumptions!F9</f>
        <v>0.23400000000000001</v>
      </c>
      <c r="G9" s="49">
        <f>Assumptions!G9</f>
        <v>0.23599999999999999</v>
      </c>
      <c r="H9" s="49">
        <f>Assumptions!H9</f>
        <v>0.23799999999999999</v>
      </c>
    </row>
    <row r="10" spans="1:10" ht="15" customHeight="1" x14ac:dyDescent="0.3">
      <c r="A10" s="64" t="s">
        <v>67</v>
      </c>
      <c r="B10" s="64"/>
      <c r="C10" s="64"/>
      <c r="D10" s="51">
        <f>D7*D9</f>
        <v>2.3000000000000003E-2</v>
      </c>
      <c r="E10" s="51">
        <f>E7*E9</f>
        <v>2.2040000000000001E-2</v>
      </c>
      <c r="F10" s="51">
        <f>F7*F9</f>
        <v>2.1059999999999999E-2</v>
      </c>
      <c r="G10" s="51">
        <f>G7*G9</f>
        <v>2.0060000000000001E-2</v>
      </c>
      <c r="H10" s="51">
        <f>H7*H9</f>
        <v>1.9039999999999998E-2</v>
      </c>
    </row>
    <row r="11" spans="1:10" ht="15" customHeight="1" x14ac:dyDescent="0.3">
      <c r="A11" s="1" t="s">
        <v>68</v>
      </c>
      <c r="B11" s="1"/>
      <c r="C11" s="1"/>
      <c r="D11" s="49">
        <f>Assumptions!D10</f>
        <v>0.26100000000000001</v>
      </c>
      <c r="E11" s="49">
        <f>Assumptions!E10</f>
        <v>0.26100000000000001</v>
      </c>
      <c r="F11" s="49">
        <f>Assumptions!F10</f>
        <v>0.26100000000000001</v>
      </c>
      <c r="G11" s="49">
        <f>Assumptions!G10</f>
        <v>0.26100000000000001</v>
      </c>
      <c r="H11" s="49">
        <f>Assumptions!H10</f>
        <v>0.26100000000000001</v>
      </c>
    </row>
    <row r="12" spans="1:10" ht="15" customHeight="1" x14ac:dyDescent="0.3">
      <c r="A12" s="2" t="s">
        <v>146</v>
      </c>
      <c r="B12" s="2"/>
      <c r="C12" s="2"/>
      <c r="D12" s="50">
        <f>D8*(1-D11)</f>
        <v>33680.796281000003</v>
      </c>
      <c r="E12" s="50">
        <f>E8*(1-E11)</f>
        <v>37201.171683588</v>
      </c>
      <c r="F12" s="50">
        <f>F8*(1-F11)</f>
        <v>40898.839869034295</v>
      </c>
      <c r="G12" s="50">
        <f>G8*(1-G11)</f>
        <v>44754.516824209066</v>
      </c>
      <c r="H12" s="50">
        <f>H8*(1-H11)</f>
        <v>48744.495781757192</v>
      </c>
    </row>
    <row r="13" spans="1:10" ht="15" customHeight="1" x14ac:dyDescent="0.3">
      <c r="A13" s="1" t="s">
        <v>62</v>
      </c>
      <c r="B13" s="1"/>
      <c r="C13" s="1"/>
      <c r="D13" s="52">
        <f>D6*Assumptions!D11</f>
        <v>7529.9774000000007</v>
      </c>
      <c r="E13" s="52">
        <f>E6*Assumptions!E11</f>
        <v>8028.3430095000003</v>
      </c>
      <c r="F13" s="52">
        <f>F6*Assumptions!F11</f>
        <v>8750.8938803550009</v>
      </c>
      <c r="G13" s="52">
        <f>G6*Assumptions!G11</f>
        <v>9238.1058099098991</v>
      </c>
      <c r="H13" s="52">
        <f>H6*Assumptions!H11</f>
        <v>9977.1542747026924</v>
      </c>
    </row>
    <row r="14" spans="1:10" ht="15" customHeight="1" x14ac:dyDescent="0.3">
      <c r="A14" s="64" t="s">
        <v>147</v>
      </c>
      <c r="B14" s="64"/>
      <c r="C14" s="64"/>
      <c r="D14" s="53">
        <f>D6*Assumptions!D12</f>
        <v>7926.2920000000013</v>
      </c>
      <c r="E14" s="53">
        <f>E6*Assumptions!E12</f>
        <v>8462.3074964999996</v>
      </c>
      <c r="F14" s="53">
        <f>F6*Assumptions!F12</f>
        <v>8987.4045257700018</v>
      </c>
      <c r="G14" s="53">
        <f>G6*Assumptions!G12</f>
        <v>9494.719860185176</v>
      </c>
      <c r="H14" s="53">
        <f>H6*Assumptions!H12</f>
        <v>9977.1542747026924</v>
      </c>
    </row>
    <row r="15" spans="1:10" ht="15" customHeight="1" x14ac:dyDescent="0.3">
      <c r="A15" s="1" t="s">
        <v>148</v>
      </c>
      <c r="B15" s="1"/>
      <c r="C15" s="1"/>
      <c r="D15" s="52">
        <f>(D6*Assumptions!D13)-'Historical Financials'!H35</f>
        <v>-969.20249999999942</v>
      </c>
      <c r="E15" s="54">
        <f>(E6*Assumptions!E13)-(D6*Assumptions!D13)</f>
        <v>1411.8707624999988</v>
      </c>
      <c r="F15" s="54">
        <f>(F6*Assumptions!F13)-(E6*Assumptions!E13)</f>
        <v>1228.1194982100023</v>
      </c>
      <c r="G15" s="54">
        <f>(G6*Assumptions!G13)-(F6*Assumptions!F13)</f>
        <v>1487.6519596603503</v>
      </c>
      <c r="H15" s="54">
        <f>(H6*Assumptions!H13)-(G6*Assumptions!G13)</f>
        <v>1242.0120033323292</v>
      </c>
    </row>
    <row r="16" spans="1:10" ht="15" customHeight="1" x14ac:dyDescent="0.3">
      <c r="A16" s="65" t="s">
        <v>149</v>
      </c>
      <c r="B16" s="65"/>
      <c r="C16" s="65"/>
      <c r="D16" s="55">
        <f>D12+D13-D14-D15</f>
        <v>34253.684181000004</v>
      </c>
      <c r="E16" s="55">
        <f>E12+E13-E14-E15</f>
        <v>35355.336434088007</v>
      </c>
      <c r="F16" s="55">
        <f>F12+F13-F14-F15</f>
        <v>39434.209725409295</v>
      </c>
      <c r="G16" s="55">
        <f>G12+G13-G14-G15</f>
        <v>43010.25081427343</v>
      </c>
      <c r="H16" s="55">
        <f>H12+H13-H14-H15</f>
        <v>47502.483778424867</v>
      </c>
    </row>
    <row r="18" spans="1:9" ht="15" customHeight="1" x14ac:dyDescent="0.3">
      <c r="A18" s="69" t="s">
        <v>150</v>
      </c>
      <c r="B18" s="69"/>
      <c r="C18" s="69"/>
      <c r="D18" s="69"/>
      <c r="E18" s="69"/>
      <c r="F18" s="69"/>
      <c r="G18" s="69"/>
      <c r="H18" s="69"/>
      <c r="I18" s="69"/>
    </row>
  </sheetData>
  <mergeCells count="16">
    <mergeCell ref="A18:I18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1:J1"/>
    <mergeCell ref="A2:J2"/>
    <mergeCell ref="A4:C4"/>
    <mergeCell ref="A5:I5"/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I29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I1"/>
    </sheetView>
  </sheetViews>
  <sheetFormatPr defaultColWidth="8.6640625" defaultRowHeight="14.4" x14ac:dyDescent="0.3"/>
  <cols>
    <col min="1" max="1" width="1" customWidth="1"/>
    <col min="2" max="2" width="38" customWidth="1"/>
    <col min="3" max="3" width="16" customWidth="1"/>
    <col min="4" max="7" width="14" customWidth="1"/>
    <col min="8" max="8" width="8" customWidth="1"/>
  </cols>
  <sheetData>
    <row r="1" spans="1:9" ht="27.75" customHeight="1" x14ac:dyDescent="0.3">
      <c r="A1" s="5" t="s">
        <v>151</v>
      </c>
      <c r="B1" s="5"/>
      <c r="C1" s="5"/>
      <c r="D1" s="5"/>
      <c r="E1" s="5"/>
      <c r="F1" s="5"/>
      <c r="G1" s="5"/>
      <c r="H1" s="5"/>
      <c r="I1" s="5"/>
    </row>
    <row r="3" spans="1:9" ht="15" customHeight="1" x14ac:dyDescent="0.3">
      <c r="A3" s="3" t="s">
        <v>152</v>
      </c>
      <c r="B3" s="3"/>
      <c r="C3" s="3"/>
      <c r="D3" s="3"/>
      <c r="E3" s="3"/>
      <c r="F3" s="3"/>
      <c r="G3" s="3"/>
      <c r="H3" s="3"/>
      <c r="I3" s="3"/>
    </row>
    <row r="4" spans="1:9" ht="15" customHeight="1" x14ac:dyDescent="0.3">
      <c r="A4" s="70" t="s">
        <v>47</v>
      </c>
      <c r="B4" s="70"/>
      <c r="C4" s="20" t="s">
        <v>95</v>
      </c>
      <c r="D4" s="20" t="s">
        <v>96</v>
      </c>
      <c r="E4" s="20" t="s">
        <v>97</v>
      </c>
      <c r="F4" s="20" t="s">
        <v>98</v>
      </c>
      <c r="G4" s="20" t="s">
        <v>99</v>
      </c>
    </row>
    <row r="5" spans="1:9" ht="15" customHeight="1" x14ac:dyDescent="0.3">
      <c r="A5" s="1" t="s">
        <v>153</v>
      </c>
      <c r="B5" s="1"/>
      <c r="C5" s="56">
        <f>'Forecast Model'!D16</f>
        <v>34253.684181000004</v>
      </c>
      <c r="D5" s="56">
        <f>'Forecast Model'!E16</f>
        <v>35355.336434088007</v>
      </c>
      <c r="E5" s="56">
        <f>'Forecast Model'!F16</f>
        <v>39434.209725409295</v>
      </c>
      <c r="F5" s="56">
        <f>'Forecast Model'!G16</f>
        <v>43010.25081427343</v>
      </c>
      <c r="G5" s="56">
        <f>'Forecast Model'!H16</f>
        <v>47502.483778424867</v>
      </c>
    </row>
    <row r="6" spans="1:9" ht="15" customHeight="1" x14ac:dyDescent="0.3">
      <c r="A6" s="64" t="s">
        <v>154</v>
      </c>
      <c r="B6" s="64"/>
      <c r="C6" s="57">
        <v>1</v>
      </c>
      <c r="D6" s="57">
        <v>2</v>
      </c>
      <c r="E6" s="57">
        <v>3</v>
      </c>
      <c r="F6" s="57">
        <v>4</v>
      </c>
      <c r="G6" s="57">
        <v>5</v>
      </c>
    </row>
    <row r="7" spans="1:9" ht="15" customHeight="1" x14ac:dyDescent="0.3">
      <c r="A7" s="1" t="s">
        <v>155</v>
      </c>
      <c r="B7" s="1"/>
      <c r="C7" s="58">
        <f>1/(1+Assumptions!C28)^C6</f>
        <v>0.87963462600785713</v>
      </c>
      <c r="D7" s="58">
        <f>1/(1+Assumptions!C28)^D6</f>
        <v>0.77375707527198279</v>
      </c>
      <c r="E7" s="58">
        <f>1/(1+Assumptions!C28)^E6</f>
        <v>0.68062351552780398</v>
      </c>
      <c r="F7" s="58">
        <f>1/(1+Assumptions!C28)^F6</f>
        <v>0.59870001153345287</v>
      </c>
      <c r="G7" s="58">
        <f>1/(1+Assumptions!C28)^G6</f>
        <v>0.5266372607361286</v>
      </c>
    </row>
    <row r="8" spans="1:9" ht="15" customHeight="1" x14ac:dyDescent="0.3">
      <c r="A8" s="65" t="s">
        <v>156</v>
      </c>
      <c r="B8" s="65"/>
      <c r="C8" s="29">
        <f>C5*C7</f>
        <v>30130.726673945192</v>
      </c>
      <c r="D8" s="29">
        <f>D5*D7</f>
        <v>27356.441714496908</v>
      </c>
      <c r="E8" s="29">
        <f>E5*E7</f>
        <v>26839.850455368793</v>
      </c>
      <c r="F8" s="29">
        <f>F5*F7</f>
        <v>25750.237658562204</v>
      </c>
      <c r="G8" s="29">
        <f>G5*G7</f>
        <v>25016.577935232057</v>
      </c>
    </row>
    <row r="10" spans="1:9" ht="15" customHeight="1" x14ac:dyDescent="0.3">
      <c r="A10" s="65" t="s">
        <v>157</v>
      </c>
      <c r="B10" s="65"/>
      <c r="C10" s="71">
        <f>SUM(C8:G8)</f>
        <v>135093.83443760514</v>
      </c>
      <c r="D10" s="71"/>
      <c r="E10" s="71"/>
      <c r="F10" s="71"/>
      <c r="G10" s="71"/>
    </row>
    <row r="12" spans="1:9" ht="15" customHeight="1" x14ac:dyDescent="0.3">
      <c r="A12" s="3" t="s">
        <v>158</v>
      </c>
      <c r="B12" s="3"/>
      <c r="C12" s="3"/>
      <c r="D12" s="3"/>
      <c r="E12" s="3"/>
      <c r="F12" s="3"/>
      <c r="G12" s="3"/>
      <c r="H12" s="3"/>
      <c r="I12" s="3"/>
    </row>
    <row r="13" spans="1:9" ht="15" customHeight="1" x14ac:dyDescent="0.3">
      <c r="A13" s="1" t="s">
        <v>159</v>
      </c>
      <c r="B13" s="1"/>
      <c r="C13" s="72">
        <f>'Forecast Model'!H16</f>
        <v>47502.483778424867</v>
      </c>
      <c r="D13" s="72"/>
      <c r="E13" s="72"/>
      <c r="F13" s="72"/>
      <c r="G13" s="72"/>
    </row>
    <row r="14" spans="1:9" ht="15" customHeight="1" x14ac:dyDescent="0.3">
      <c r="A14" s="64" t="s">
        <v>141</v>
      </c>
      <c r="B14" s="64"/>
      <c r="C14" s="73">
        <f>Assumptions!C29</f>
        <v>5.5E-2</v>
      </c>
      <c r="D14" s="73"/>
      <c r="E14" s="73"/>
      <c r="F14" s="73"/>
      <c r="G14" s="73"/>
    </row>
    <row r="15" spans="1:9" ht="15" customHeight="1" x14ac:dyDescent="0.3">
      <c r="A15" s="1" t="s">
        <v>138</v>
      </c>
      <c r="B15" s="1"/>
      <c r="C15" s="73">
        <f>Assumptions!C28</f>
        <v>0.13683564793078948</v>
      </c>
      <c r="D15" s="73"/>
      <c r="E15" s="73"/>
      <c r="F15" s="73"/>
      <c r="G15" s="73"/>
    </row>
    <row r="16" spans="1:9" ht="15" customHeight="1" x14ac:dyDescent="0.3">
      <c r="A16" s="65" t="s">
        <v>160</v>
      </c>
      <c r="B16" s="65"/>
      <c r="C16" s="71">
        <f>(C13*(1+C14))/(C15-C14)</f>
        <v>612387.40882973</v>
      </c>
      <c r="D16" s="71"/>
      <c r="E16" s="71"/>
      <c r="F16" s="71"/>
      <c r="G16" s="71"/>
    </row>
    <row r="17" spans="1:9" ht="15" customHeight="1" x14ac:dyDescent="0.3">
      <c r="A17" s="65" t="s">
        <v>161</v>
      </c>
      <c r="B17" s="65"/>
      <c r="C17" s="71">
        <f>C16/(1+Assumptions!C28)^5</f>
        <v>322506.02749538468</v>
      </c>
      <c r="D17" s="71"/>
      <c r="E17" s="71"/>
      <c r="F17" s="71"/>
      <c r="G17" s="71"/>
    </row>
    <row r="18" spans="1:9" ht="15" customHeight="1" x14ac:dyDescent="0.3">
      <c r="A18" s="64" t="s">
        <v>162</v>
      </c>
      <c r="B18" s="64"/>
      <c r="C18" s="74">
        <f>C17/(C10+C17)</f>
        <v>0.70477737063349888</v>
      </c>
      <c r="D18" s="74"/>
      <c r="E18" s="74"/>
      <c r="F18" s="74"/>
      <c r="G18" s="74"/>
    </row>
    <row r="20" spans="1:9" ht="15" customHeight="1" x14ac:dyDescent="0.3">
      <c r="A20" s="3" t="s">
        <v>163</v>
      </c>
      <c r="B20" s="3"/>
      <c r="C20" s="3"/>
      <c r="D20" s="3"/>
      <c r="E20" s="3"/>
      <c r="F20" s="3"/>
      <c r="G20" s="3"/>
      <c r="H20" s="3"/>
      <c r="I20" s="3"/>
    </row>
    <row r="21" spans="1:9" ht="15" customHeight="1" x14ac:dyDescent="0.3">
      <c r="A21" s="65" t="s">
        <v>164</v>
      </c>
      <c r="B21" s="65"/>
      <c r="C21" s="71">
        <f>C10+C17</f>
        <v>457599.86193298979</v>
      </c>
      <c r="D21" s="71"/>
      <c r="E21" s="71"/>
      <c r="F21" s="71"/>
      <c r="G21" s="71"/>
    </row>
    <row r="22" spans="1:9" ht="15" customHeight="1" x14ac:dyDescent="0.3">
      <c r="A22" s="64" t="s">
        <v>165</v>
      </c>
      <c r="B22" s="64"/>
      <c r="C22" s="72">
        <f>'Historical Financials'!H38</f>
        <v>3741</v>
      </c>
      <c r="D22" s="72"/>
      <c r="E22" s="72"/>
      <c r="F22" s="72"/>
      <c r="G22" s="72"/>
    </row>
    <row r="23" spans="1:9" ht="15" customHeight="1" x14ac:dyDescent="0.3">
      <c r="A23" s="1" t="s">
        <v>166</v>
      </c>
      <c r="B23" s="1"/>
      <c r="C23" s="72">
        <f>'Historical Financials'!H28</f>
        <v>15450</v>
      </c>
      <c r="D23" s="72"/>
      <c r="E23" s="72"/>
      <c r="F23" s="72"/>
      <c r="G23" s="72"/>
    </row>
    <row r="24" spans="1:9" ht="15" customHeight="1" x14ac:dyDescent="0.3">
      <c r="A24" s="65" t="s">
        <v>167</v>
      </c>
      <c r="B24" s="65"/>
      <c r="C24" s="71">
        <f>C21-C22+C23</f>
        <v>469308.86193298979</v>
      </c>
      <c r="D24" s="71"/>
      <c r="E24" s="71"/>
      <c r="F24" s="71"/>
      <c r="G24" s="71"/>
    </row>
    <row r="25" spans="1:9" ht="15" customHeight="1" x14ac:dyDescent="0.3">
      <c r="A25" s="1" t="s">
        <v>168</v>
      </c>
      <c r="B25" s="1"/>
      <c r="C25" s="75">
        <v>414</v>
      </c>
      <c r="D25" s="75"/>
      <c r="E25" s="75"/>
      <c r="F25" s="75"/>
      <c r="G25" s="75"/>
    </row>
    <row r="26" spans="1:9" ht="15" customHeight="1" x14ac:dyDescent="0.3">
      <c r="A26" s="65" t="s">
        <v>169</v>
      </c>
      <c r="B26" s="65"/>
      <c r="C26" s="76">
        <f>(C24*100)/C25</f>
        <v>113359.62848622943</v>
      </c>
      <c r="D26" s="76"/>
      <c r="E26" s="76"/>
      <c r="F26" s="76"/>
      <c r="G26" s="76"/>
    </row>
    <row r="27" spans="1:9" ht="15" customHeight="1" x14ac:dyDescent="0.3">
      <c r="A27" s="1" t="s">
        <v>170</v>
      </c>
      <c r="B27" s="1"/>
      <c r="C27" s="75">
        <v>1484</v>
      </c>
      <c r="D27" s="75"/>
      <c r="E27" s="75"/>
      <c r="F27" s="75"/>
      <c r="G27" s="75"/>
    </row>
    <row r="28" spans="1:9" ht="15" customHeight="1" x14ac:dyDescent="0.3">
      <c r="A28" s="64" t="s">
        <v>171</v>
      </c>
      <c r="B28" s="64"/>
      <c r="C28" s="74">
        <f>(C26-C27)/C27</f>
        <v>75.387889815518477</v>
      </c>
      <c r="D28" s="74"/>
      <c r="E28" s="74"/>
      <c r="F28" s="74"/>
      <c r="G28" s="74"/>
    </row>
    <row r="29" spans="1:9" ht="15" customHeight="1" x14ac:dyDescent="0.3">
      <c r="A29" s="65" t="s">
        <v>172</v>
      </c>
      <c r="B29" s="65"/>
      <c r="C29" s="77" t="str">
        <f>IF(C26&gt;C27*1.15,"BUY ▲",IF(C26&lt;C27*0.85,"SELL ▼","HOLD ◆"))</f>
        <v>BUY ▲</v>
      </c>
      <c r="D29" s="77"/>
      <c r="E29" s="77"/>
      <c r="F29" s="77"/>
      <c r="G29" s="77"/>
    </row>
  </sheetData>
  <mergeCells count="41">
    <mergeCell ref="A29:B29"/>
    <mergeCell ref="C29:G29"/>
    <mergeCell ref="A26:B26"/>
    <mergeCell ref="C26:G26"/>
    <mergeCell ref="A27:B27"/>
    <mergeCell ref="C27:G27"/>
    <mergeCell ref="A28:B28"/>
    <mergeCell ref="C28:G28"/>
    <mergeCell ref="A23:B23"/>
    <mergeCell ref="C23:G23"/>
    <mergeCell ref="A24:B24"/>
    <mergeCell ref="C24:G24"/>
    <mergeCell ref="A25:B25"/>
    <mergeCell ref="C25:G25"/>
    <mergeCell ref="A20:I20"/>
    <mergeCell ref="A21:B21"/>
    <mergeCell ref="C21:G21"/>
    <mergeCell ref="A22:B22"/>
    <mergeCell ref="C22:G22"/>
    <mergeCell ref="A16:B16"/>
    <mergeCell ref="C16:G16"/>
    <mergeCell ref="A17:B17"/>
    <mergeCell ref="C17:G17"/>
    <mergeCell ref="A18:B18"/>
    <mergeCell ref="C18:G18"/>
    <mergeCell ref="A13:B13"/>
    <mergeCell ref="C13:G13"/>
    <mergeCell ref="A14:B14"/>
    <mergeCell ref="C14:G14"/>
    <mergeCell ref="A15:B15"/>
    <mergeCell ref="C15:G15"/>
    <mergeCell ref="A7:B7"/>
    <mergeCell ref="A8:B8"/>
    <mergeCell ref="A10:B10"/>
    <mergeCell ref="C10:G10"/>
    <mergeCell ref="A12:I12"/>
    <mergeCell ref="A1:I1"/>
    <mergeCell ref="A3:I3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</sheetPr>
  <dimension ref="A1:P2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P1"/>
    </sheetView>
  </sheetViews>
  <sheetFormatPr defaultColWidth="8.6640625" defaultRowHeight="14.4" x14ac:dyDescent="0.3"/>
  <cols>
    <col min="1" max="1" width="14" customWidth="1"/>
    <col min="2" max="10" width="12" customWidth="1"/>
  </cols>
  <sheetData>
    <row r="1" spans="1:16" ht="27.75" customHeight="1" x14ac:dyDescent="0.3">
      <c r="A1" s="5" t="s">
        <v>173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5" customHeight="1" x14ac:dyDescent="0.3">
      <c r="A2" s="4" t="s">
        <v>174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ht="15" customHeight="1" x14ac:dyDescent="0.3">
      <c r="A4" s="68" t="s">
        <v>175</v>
      </c>
      <c r="B4" s="68"/>
      <c r="C4" s="68"/>
      <c r="D4" s="68"/>
      <c r="E4" s="68"/>
      <c r="F4" s="68"/>
      <c r="G4" s="68"/>
      <c r="H4" s="68"/>
      <c r="I4" s="68"/>
      <c r="J4" s="68"/>
    </row>
    <row r="5" spans="1:16" ht="15" customHeight="1" x14ac:dyDescent="0.3">
      <c r="A5" s="59" t="s">
        <v>176</v>
      </c>
      <c r="B5" s="60">
        <v>0.04</v>
      </c>
      <c r="C5" s="60">
        <v>4.4999999999999998E-2</v>
      </c>
      <c r="D5" s="60">
        <v>0.05</v>
      </c>
      <c r="E5" s="60">
        <v>5.5E-2</v>
      </c>
      <c r="F5" s="60">
        <v>0.06</v>
      </c>
      <c r="G5" s="60">
        <v>6.5000000000000002E-2</v>
      </c>
      <c r="H5" s="60">
        <v>7.0000000000000007E-2</v>
      </c>
    </row>
    <row r="6" spans="1:16" ht="15" customHeight="1" x14ac:dyDescent="0.3">
      <c r="A6" s="61">
        <v>0.105</v>
      </c>
      <c r="B6" s="62">
        <f>('Forecast Model'!D16/(1+0.105)^1+'Forecast Model'!E16/(1+0.105)^2+'Forecast Model'!F16/(1+0.105)^3+'Forecast Model'!G16/(1+0.105)^4+'Forecast Model'!H16/(1+0.105)^5+('Forecast Model'!H16*(1+0.04))/(0.105-0.04)/(1+0.105)^5-'DCF Valuation'!C22+'DCF Valuation'!C23)*100/'DCF Valuation'!C25</f>
        <v>149738.38615983169</v>
      </c>
      <c r="C6" s="62">
        <f>('Forecast Model'!D16/(1+0.105)^1+'Forecast Model'!E16/(1+0.105)^2+'Forecast Model'!F16/(1+0.105)^3+'Forecast Model'!G16/(1+0.105)^4+'Forecast Model'!H16/(1+0.105)^5+('Forecast Model'!H16*(1+0.045))/(0.105-0.045)/(1+0.105)^5-'DCF Valuation'!C22+'DCF Valuation'!C23)*100/'DCF Valuation'!C25</f>
        <v>159605.0938587561</v>
      </c>
      <c r="D6" s="62">
        <f>('Forecast Model'!D16/(1+0.105)^1+'Forecast Model'!E16/(1+0.105)^2+'Forecast Model'!F16/(1+0.105)^3+'Forecast Model'!G16/(1+0.105)^4+'Forecast Model'!H16/(1+0.105)^5+('Forecast Model'!H16*(1+0.05))/(0.105-0.05)/(1+0.105)^5-'DCF Valuation'!C22+'DCF Valuation'!C23)*100/'DCF Valuation'!C25</f>
        <v>171265.74841203049</v>
      </c>
      <c r="E6" s="62">
        <f>('Forecast Model'!D16/(1+0.105)^1+'Forecast Model'!E16/(1+0.105)^2+'Forecast Model'!F16/(1+0.105)^3+'Forecast Model'!G16/(1+0.105)^4+'Forecast Model'!H16/(1+0.105)^5+('Forecast Model'!H16*(1+0.055))/(0.105-0.055)/(1+0.105)^5-'DCF Valuation'!C22+'DCF Valuation'!C23)*100/'DCF Valuation'!C25</f>
        <v>185258.53387595966</v>
      </c>
      <c r="F6" s="62">
        <f>('Forecast Model'!D16/(1+0.105)^1+'Forecast Model'!E16/(1+0.105)^2+'Forecast Model'!F16/(1+0.105)^3+'Forecast Model'!G16/(1+0.105)^4+'Forecast Model'!H16/(1+0.105)^5+('Forecast Model'!H16*(1+0.06))/(0.105-0.06)/(1+0.105)^5-'DCF Valuation'!C22+'DCF Valuation'!C23)*100/'DCF Valuation'!C25</f>
        <v>202360.827220762</v>
      </c>
      <c r="G6" s="62">
        <f>('Forecast Model'!D16/(1+0.105)^1+'Forecast Model'!E16/(1+0.105)^2+'Forecast Model'!F16/(1+0.105)^3+'Forecast Model'!G16/(1+0.105)^4+'Forecast Model'!H16/(1+0.105)^5+('Forecast Model'!H16*(1+0.065))/(0.105-0.065)/(1+0.105)^5-'DCF Valuation'!C22+'DCF Valuation'!C23)*100/'DCF Valuation'!C25</f>
        <v>223738.69390176499</v>
      </c>
      <c r="H6" s="62">
        <f>('Forecast Model'!D16/(1+0.105)^1+'Forecast Model'!E16/(1+0.105)^2+'Forecast Model'!F16/(1+0.105)^3+'Forecast Model'!G16/(1+0.105)^4+'Forecast Model'!H16/(1+0.105)^5+('Forecast Model'!H16*(1+0.07))/(0.105-0.07)/(1+0.105)^5-'DCF Valuation'!C22+'DCF Valuation'!C23)*100/'DCF Valuation'!C25</f>
        <v>251224.52249162598</v>
      </c>
    </row>
    <row r="7" spans="1:16" ht="15" customHeight="1" x14ac:dyDescent="0.3">
      <c r="A7" s="61">
        <v>0.11</v>
      </c>
      <c r="B7" s="62">
        <f>('Forecast Model'!D16/(1+0.11)^1+'Forecast Model'!E16/(1+0.11)^2+'Forecast Model'!F16/(1+0.11)^3+'Forecast Model'!G16/(1+0.11)^4+'Forecast Model'!H16/(1+0.11)^5+('Forecast Model'!H16*(1+0.04))/(0.11-0.04)/(1+0.11)^5-'DCF Valuation'!C22+'DCF Valuation'!C23)*100/'DCF Valuation'!C25</f>
        <v>138997.31629063192</v>
      </c>
      <c r="C7" s="62">
        <f>('Forecast Model'!D16/(1+0.11)^1+'Forecast Model'!E16/(1+0.11)^2+'Forecast Model'!F16/(1+0.11)^3+'Forecast Model'!G16/(1+0.11)^4+'Forecast Model'!H16/(1+0.11)^5+('Forecast Model'!H16*(1+0.045))/(0.11-0.045)/(1+0.11)^5-'DCF Valuation'!C22+'DCF Valuation'!C23)*100/'DCF Valuation'!C25</f>
        <v>147303.13924908303</v>
      </c>
      <c r="D7" s="62">
        <f>('Forecast Model'!D16/(1+0.11)^1+'Forecast Model'!E16/(1+0.11)^2+'Forecast Model'!F16/(1+0.11)^3+'Forecast Model'!G16/(1+0.11)^4+'Forecast Model'!H16/(1+0.11)^5+('Forecast Model'!H16*(1+0.05))/(0.11-0.05)/(1+0.11)^5-'DCF Valuation'!C22+'DCF Valuation'!C23)*100/'DCF Valuation'!C25</f>
        <v>156993.26603394278</v>
      </c>
      <c r="E7" s="62">
        <f>('Forecast Model'!D16/(1+0.11)^1+'Forecast Model'!E16/(1+0.11)^2+'Forecast Model'!F16/(1+0.11)^3+'Forecast Model'!G16/(1+0.11)^4+'Forecast Model'!H16/(1+0.11)^5+('Forecast Model'!H16*(1+0.055))/(0.11-0.055)/(1+0.11)^5-'DCF Valuation'!C22+'DCF Valuation'!C23)*100/'DCF Valuation'!C25</f>
        <v>168445.23405241326</v>
      </c>
      <c r="F7" s="62">
        <f>('Forecast Model'!D16/(1+0.11)^1+'Forecast Model'!E16/(1+0.11)^2+'Forecast Model'!F16/(1+0.11)^3+'Forecast Model'!G16/(1+0.11)^4+'Forecast Model'!H16/(1+0.11)^5+('Forecast Model'!H16*(1+0.06))/(0.11-0.06)/(1+0.11)^5-'DCF Valuation'!C22+'DCF Valuation'!C23)*100/'DCF Valuation'!C25</f>
        <v>182187.59567457793</v>
      </c>
      <c r="G7" s="62">
        <f>('Forecast Model'!D16/(1+0.11)^1+'Forecast Model'!E16/(1+0.11)^2+'Forecast Model'!F16/(1+0.11)^3+'Forecast Model'!G16/(1+0.11)^4+'Forecast Model'!H16/(1+0.11)^5+('Forecast Model'!H16*(1+0.065))/(0.11-0.065)/(1+0.11)^5-'DCF Valuation'!C22+'DCF Valuation'!C23)*100/'DCF Valuation'!C25</f>
        <v>198983.81543500139</v>
      </c>
      <c r="H7" s="62">
        <f>('Forecast Model'!D16/(1+0.11)^1+'Forecast Model'!E16/(1+0.11)^2+'Forecast Model'!F16/(1+0.11)^3+'Forecast Model'!G16/(1+0.11)^4+'Forecast Model'!H16/(1+0.11)^5+('Forecast Model'!H16*(1+0.07))/(0.11-0.07)/(1+0.11)^5-'DCF Valuation'!C22+'DCF Valuation'!C23)*100/'DCF Valuation'!C25</f>
        <v>219979.09013553071</v>
      </c>
    </row>
    <row r="8" spans="1:16" ht="15" customHeight="1" x14ac:dyDescent="0.3">
      <c r="A8" s="61">
        <v>0.115</v>
      </c>
      <c r="B8" s="62">
        <f>('Forecast Model'!D16/(1+0.115)^1+'Forecast Model'!E16/(1+0.115)^2+'Forecast Model'!F16/(1+0.115)^3+'Forecast Model'!G16/(1+0.115)^4+'Forecast Model'!H16/(1+0.115)^5+('Forecast Model'!H16*(1+0.04))/(0.115-0.04)/(1+0.115)^5-'DCF Valuation'!C22+'DCF Valuation'!C23)*100/'DCF Valuation'!C25</f>
        <v>129692.73804574535</v>
      </c>
      <c r="C8" s="62">
        <f>('Forecast Model'!D16/(1+0.115)^1+'Forecast Model'!E16/(1+0.115)^2+'Forecast Model'!F16/(1+0.115)^3+'Forecast Model'!G16/(1+0.115)^4+'Forecast Model'!H16/(1+0.115)^5+('Forecast Model'!H16*(1+0.045))/(0.115-0.045)/(1+0.115)^5-'DCF Valuation'!C22+'DCF Valuation'!C23)*100/'DCF Valuation'!C25</f>
        <v>136762.86494053196</v>
      </c>
      <c r="D8" s="62">
        <f>('Forecast Model'!D16/(1+0.115)^1+'Forecast Model'!E16/(1+0.115)^2+'Forecast Model'!F16/(1+0.115)^3+'Forecast Model'!G16/(1+0.115)^4+'Forecast Model'!H16/(1+0.115)^5+('Forecast Model'!H16*(1+0.05))/(0.115-0.05)/(1+0.115)^5-'DCF Valuation'!C22+'DCF Valuation'!C23)*100/'DCF Valuation'!C25</f>
        <v>144920.70366528575</v>
      </c>
      <c r="E8" s="62">
        <f>('Forecast Model'!D16/(1+0.115)^1+'Forecast Model'!E16/(1+0.115)^2+'Forecast Model'!F16/(1+0.115)^3+'Forecast Model'!G16/(1+0.115)^4+'Forecast Model'!H16/(1+0.115)^5+('Forecast Model'!H16*(1+0.055))/(0.115-0.055)/(1+0.115)^5-'DCF Valuation'!C22+'DCF Valuation'!C23)*100/'DCF Valuation'!C25</f>
        <v>154438.18217749847</v>
      </c>
      <c r="F8" s="62">
        <f>('Forecast Model'!D16/(1+0.115)^1+'Forecast Model'!E16/(1+0.115)^2+'Forecast Model'!F16/(1+0.115)^3+'Forecast Model'!G16/(1+0.115)^4+'Forecast Model'!H16/(1+0.115)^5+('Forecast Model'!H16*(1+0.06))/(0.115-0.06)/(1+0.115)^5-'DCF Valuation'!C22+'DCF Valuation'!C23)*100/'DCF Valuation'!C25</f>
        <v>165686.11132829534</v>
      </c>
      <c r="G8" s="62">
        <f>('Forecast Model'!D16/(1+0.115)^1+'Forecast Model'!E16/(1+0.115)^2+'Forecast Model'!F16/(1+0.115)^3+'Forecast Model'!G16/(1+0.115)^4+'Forecast Model'!H16/(1+0.115)^5+('Forecast Model'!H16*(1+0.065))/(0.115-0.065)/(1+0.115)^5-'DCF Valuation'!C22+'DCF Valuation'!C23)*100/'DCF Valuation'!C25</f>
        <v>179183.62630925156</v>
      </c>
      <c r="H8" s="62">
        <f>('Forecast Model'!D16/(1+0.115)^1+'Forecast Model'!E16/(1+0.115)^2+'Forecast Model'!F16/(1+0.115)^3+'Forecast Model'!G16/(1+0.115)^4+'Forecast Model'!H16/(1+0.115)^5+('Forecast Model'!H16*(1+0.07))/(0.115-0.07)/(1+0.115)^5-'DCF Valuation'!C22+'DCF Valuation'!C23)*100/'DCF Valuation'!C25</f>
        <v>195680.58906375364</v>
      </c>
    </row>
    <row r="9" spans="1:16" ht="15" customHeight="1" x14ac:dyDescent="0.3">
      <c r="A9" s="61">
        <v>0.12</v>
      </c>
      <c r="B9" s="62">
        <f>('Forecast Model'!D16/(1+0.12)^1+'Forecast Model'!E16/(1+0.12)^2+'Forecast Model'!F16/(1+0.12)^3+'Forecast Model'!G16/(1+0.12)^4+'Forecast Model'!H16/(1+0.12)^5+('Forecast Model'!H16*(1+0.04))/(0.12-0.04)/(1+0.12)^5-'DCF Valuation'!C22+'DCF Valuation'!C23)*100/'DCF Valuation'!C25</f>
        <v>121555.21207320779</v>
      </c>
      <c r="C9" s="62">
        <f>('Forecast Model'!D16/(1+0.12)^1+'Forecast Model'!E16/(1+0.12)^2+'Forecast Model'!F16/(1+0.12)^3+'Forecast Model'!G16/(1+0.12)^4+'Forecast Model'!H16/(1+0.12)^5+('Forecast Model'!H16*(1+0.045))/(0.12-0.045)/(1+0.12)^5-'DCF Valuation'!C22+'DCF Valuation'!C23)*100/'DCF Valuation'!C25</f>
        <v>127631.83993357838</v>
      </c>
      <c r="D9" s="62">
        <f>('Forecast Model'!D16/(1+0.12)^1+'Forecast Model'!E16/(1+0.12)^2+'Forecast Model'!F16/(1+0.12)^3+'Forecast Model'!G16/(1+0.12)^4+'Forecast Model'!H16/(1+0.12)^5+('Forecast Model'!H16*(1+0.05))/(0.12-0.05)/(1+0.12)^5-'DCF Valuation'!C22+'DCF Valuation'!C23)*100/'DCF Valuation'!C25</f>
        <v>134576.55748828768</v>
      </c>
      <c r="E9" s="62">
        <f>('Forecast Model'!D16/(1+0.12)^1+'Forecast Model'!E16/(1+0.12)^2+'Forecast Model'!F16/(1+0.12)^3+'Forecast Model'!G16/(1+0.12)^4+'Forecast Model'!H16/(1+0.12)^5+('Forecast Model'!H16*(1+0.055))/(0.12-0.055)/(1+0.12)^5-'DCF Valuation'!C22+'DCF Valuation'!C23)*100/'DCF Valuation'!C25</f>
        <v>142589.69312833683</v>
      </c>
      <c r="F9" s="62">
        <f>('Forecast Model'!D16/(1+0.12)^1+'Forecast Model'!E16/(1+0.12)^2+'Forecast Model'!F16/(1+0.12)^3+'Forecast Model'!G16/(1+0.12)^4+'Forecast Model'!H16/(1+0.12)^5+('Forecast Model'!H16*(1+0.06))/(0.12-0.06)/(1+0.12)^5-'DCF Valuation'!C22+'DCF Valuation'!C23)*100/'DCF Valuation'!C25</f>
        <v>151938.35137506088</v>
      </c>
      <c r="G9" s="62">
        <f>('Forecast Model'!D16/(1+0.12)^1+'Forecast Model'!E16/(1+0.12)^2+'Forecast Model'!F16/(1+0.12)^3+'Forecast Model'!G16/(1+0.12)^4+'Forecast Model'!H16/(1+0.12)^5+('Forecast Model'!H16*(1+0.065))/(0.12-0.065)/(1+0.12)^5-'DCF Valuation'!C22+'DCF Valuation'!C23)*100/'DCF Valuation'!C25</f>
        <v>162986.76566664386</v>
      </c>
      <c r="H9" s="62">
        <f>('Forecast Model'!D16/(1+0.12)^1+'Forecast Model'!E16/(1+0.12)^2+'Forecast Model'!F16/(1+0.12)^3+'Forecast Model'!G16/(1+0.12)^4+'Forecast Model'!H16/(1+0.12)^5+('Forecast Model'!H16*(1+0.07))/(0.12-0.07)/(1+0.12)^5-'DCF Valuation'!C22+'DCF Valuation'!C23)*100/'DCF Valuation'!C25</f>
        <v>176244.86281654341</v>
      </c>
    </row>
    <row r="10" spans="1:16" ht="15" customHeight="1" x14ac:dyDescent="0.3">
      <c r="A10" s="61">
        <v>0.125</v>
      </c>
      <c r="B10" s="62">
        <f>('Forecast Model'!D16/(1+0.125)^1+'Forecast Model'!E16/(1+0.125)^2+'Forecast Model'!F16/(1+0.125)^3+'Forecast Model'!G16/(1+0.125)^4+'Forecast Model'!H16/(1+0.125)^5+('Forecast Model'!H16*(1+0.04))/(0.125-0.04)/(1+0.125)^5-'DCF Valuation'!C22+'DCF Valuation'!C23)*100/'DCF Valuation'!C25</f>
        <v>114378.6991326142</v>
      </c>
      <c r="C10" s="62">
        <f>('Forecast Model'!D16/(1+0.125)^1+'Forecast Model'!E16/(1+0.125)^2+'Forecast Model'!F16/(1+0.125)^3+'Forecast Model'!G16/(1+0.125)^4+'Forecast Model'!H16/(1+0.125)^5+('Forecast Model'!H16*(1+0.045))/(0.125-0.045)/(1+0.125)^5-'DCF Valuation'!C22+'DCF Valuation'!C23)*100/'DCF Valuation'!C25</f>
        <v>119645.74352852153</v>
      </c>
      <c r="D10" s="62">
        <f>('Forecast Model'!D16/(1+0.125)^1+'Forecast Model'!E16/(1+0.125)^2+'Forecast Model'!F16/(1+0.125)^3+'Forecast Model'!G16/(1+0.125)^4+'Forecast Model'!H16/(1+0.125)^5+('Forecast Model'!H16*(1+0.05))/(0.125-0.05)/(1+0.125)^5-'DCF Valuation'!C22+'DCF Valuation'!C23)*100/'DCF Valuation'!C25</f>
        <v>125615.06051054985</v>
      </c>
      <c r="E10" s="62">
        <f>('Forecast Model'!D16/(1+0.125)^1+'Forecast Model'!E16/(1+0.125)^2+'Forecast Model'!F16/(1+0.125)^3+'Forecast Model'!G16/(1+0.125)^4+'Forecast Model'!H16/(1+0.125)^5+('Forecast Model'!H16*(1+0.055))/(0.125-0.055)/(1+0.125)^5-'DCF Valuation'!C22+'DCF Valuation'!C23)*100/'DCF Valuation'!C25</f>
        <v>132437.13706143934</v>
      </c>
      <c r="F10" s="62">
        <f>('Forecast Model'!D16/(1+0.125)^1+'Forecast Model'!E16/(1+0.125)^2+'Forecast Model'!F16/(1+0.125)^3+'Forecast Model'!G16/(1+0.125)^4+'Forecast Model'!H16/(1+0.125)^5+('Forecast Model'!H16*(1+0.06))/(0.125-0.06)/(1+0.125)^5-'DCF Valuation'!C22+'DCF Valuation'!C23)*100/'DCF Valuation'!C25</f>
        <v>140308.76385092724</v>
      </c>
      <c r="G10" s="62">
        <f>('Forecast Model'!D16/(1+0.125)^1+'Forecast Model'!E16/(1+0.125)^2+'Forecast Model'!F16/(1+0.125)^3+'Forecast Model'!G16/(1+0.125)^4+'Forecast Model'!H16/(1+0.125)^5+('Forecast Model'!H16*(1+0.065))/(0.125-0.065)/(1+0.125)^5-'DCF Valuation'!C22+'DCF Valuation'!C23)*100/'DCF Valuation'!C25</f>
        <v>149492.32843866316</v>
      </c>
      <c r="H10" s="62">
        <f>('Forecast Model'!D16/(1+0.125)^1+'Forecast Model'!E16/(1+0.125)^2+'Forecast Model'!F16/(1+0.125)^3+'Forecast Model'!G16/(1+0.125)^4+'Forecast Model'!H16/(1+0.125)^5+('Forecast Model'!H16*(1+0.07))/(0.125-0.07)/(1+0.125)^5-'DCF Valuation'!C22+'DCF Valuation'!C23)*100/'DCF Valuation'!C25</f>
        <v>160345.63204235103</v>
      </c>
    </row>
    <row r="11" spans="1:16" ht="15" customHeight="1" x14ac:dyDescent="0.3">
      <c r="A11" s="61">
        <v>0.13</v>
      </c>
      <c r="B11" s="62">
        <f>('Forecast Model'!D16/(1+0.13)^1+'Forecast Model'!E16/(1+0.13)^2+'Forecast Model'!F16/(1+0.13)^3+'Forecast Model'!G16/(1+0.13)^4+'Forecast Model'!H16/(1+0.13)^5+('Forecast Model'!H16*(1+0.04))/(0.13-0.04)/(1+0.13)^5-'DCF Valuation'!C22+'DCF Valuation'!C23)*100/'DCF Valuation'!C25</f>
        <v>108002.94887088743</v>
      </c>
      <c r="C11" s="62">
        <f>('Forecast Model'!D16/(1+0.13)^1+'Forecast Model'!E16/(1+0.13)^2+'Forecast Model'!F16/(1+0.13)^3+'Forecast Model'!G16/(1+0.13)^4+'Forecast Model'!H16/(1+0.13)^5+('Forecast Model'!H16*(1+0.045))/(0.13-0.045)/(1+0.13)^5-'DCF Valuation'!C22+'DCF Valuation'!C23)*100/'DCF Valuation'!C25</f>
        <v>112602.45045160697</v>
      </c>
      <c r="D11" s="62">
        <f>('Forecast Model'!D16/(1+0.13)^1+'Forecast Model'!E16/(1+0.13)^2+'Forecast Model'!F16/(1+0.13)^3+'Forecast Model'!G16/(1+0.13)^4+'Forecast Model'!H16/(1+0.13)^5+('Forecast Model'!H16*(1+0.05))/(0.13-0.05)/(1+0.13)^5-'DCF Valuation'!C22+'DCF Valuation'!C23)*100/'DCF Valuation'!C25</f>
        <v>117776.88972991647</v>
      </c>
      <c r="E11" s="62">
        <f>('Forecast Model'!D16/(1+0.13)^1+'Forecast Model'!E16/(1+0.13)^2+'Forecast Model'!F16/(1+0.13)^3+'Forecast Model'!G16/(1+0.13)^4+'Forecast Model'!H16/(1+0.13)^5+('Forecast Model'!H16*(1+0.055))/(0.13-0.055)/(1+0.13)^5-'DCF Valuation'!C22+'DCF Valuation'!C23)*100/'DCF Valuation'!C25</f>
        <v>123641.25424533388</v>
      </c>
      <c r="F11" s="62">
        <f>('Forecast Model'!D16/(1+0.13)^1+'Forecast Model'!E16/(1+0.13)^2+'Forecast Model'!F16/(1+0.13)^3+'Forecast Model'!G16/(1+0.13)^4+'Forecast Model'!H16/(1+0.13)^5+('Forecast Model'!H16*(1+0.06))/(0.13-0.06)/(1+0.13)^5-'DCF Valuation'!C22+'DCF Valuation'!C23)*100/'DCF Valuation'!C25</f>
        <v>130343.38512009666</v>
      </c>
      <c r="G11" s="62">
        <f>('Forecast Model'!D16/(1+0.13)^1+'Forecast Model'!E16/(1+0.13)^2+'Forecast Model'!F16/(1+0.13)^3+'Forecast Model'!G16/(1+0.13)^4+'Forecast Model'!H16/(1+0.13)^5+('Forecast Model'!H16*(1+0.065))/(0.13-0.065)/(1+0.13)^5-'DCF Valuation'!C22+'DCF Valuation'!C23)*100/'DCF Valuation'!C25</f>
        <v>138076.61305251525</v>
      </c>
      <c r="H11" s="62">
        <f>('Forecast Model'!D16/(1+0.13)^1+'Forecast Model'!E16/(1+0.13)^2+'Forecast Model'!F16/(1+0.13)^3+'Forecast Model'!G16/(1+0.13)^4+'Forecast Model'!H16/(1+0.13)^5+('Forecast Model'!H16*(1+0.07))/(0.13-0.07)/(1+0.13)^5-'DCF Valuation'!C22+'DCF Valuation'!C23)*100/'DCF Valuation'!C25</f>
        <v>147098.71230700362</v>
      </c>
    </row>
    <row r="12" spans="1:16" ht="15" customHeight="1" x14ac:dyDescent="0.3">
      <c r="A12" s="61">
        <v>0.13500000000000001</v>
      </c>
      <c r="B12" s="62">
        <f>('Forecast Model'!D16/(1+0.135)^1+'Forecast Model'!E16/(1+0.135)^2+'Forecast Model'!F16/(1+0.135)^3+'Forecast Model'!G16/(1+0.135)^4+'Forecast Model'!H16/(1+0.135)^5+('Forecast Model'!H16*(1+0.04))/(0.135-0.04)/(1+0.135)^5-'DCF Valuation'!C22+'DCF Valuation'!C23)*100/'DCF Valuation'!C25</f>
        <v>102301.45004021254</v>
      </c>
      <c r="C12" s="62">
        <f>('Forecast Model'!D16/(1+0.135)^1+'Forecast Model'!E16/(1+0.135)^2+'Forecast Model'!F16/(1+0.135)^3+'Forecast Model'!G16/(1+0.135)^4+'Forecast Model'!H16/(1+0.135)^5+('Forecast Model'!H16*(1+0.045))/(0.135-0.045)/(1+0.135)^5-'DCF Valuation'!C22+'DCF Valuation'!C23)*100/'DCF Valuation'!C25</f>
        <v>106344.75427528677</v>
      </c>
      <c r="D12" s="62">
        <f>('Forecast Model'!D16/(1+0.135)^1+'Forecast Model'!E16/(1+0.135)^2+'Forecast Model'!F16/(1+0.135)^3+'Forecast Model'!G16/(1+0.135)^4+'Forecast Model'!H16/(1+0.135)^5+('Forecast Model'!H16*(1+0.05))/(0.135-0.05)/(1+0.135)^5-'DCF Valuation'!C22+'DCF Valuation'!C23)*100/'DCF Valuation'!C25</f>
        <v>110863.74136154624</v>
      </c>
      <c r="E12" s="62">
        <f>('Forecast Model'!D16/(1+0.135)^1+'Forecast Model'!E16/(1+0.135)^2+'Forecast Model'!F16/(1+0.135)^3+'Forecast Model'!G16/(1+0.135)^4+'Forecast Model'!H16/(1+0.135)^5+('Forecast Model'!H16*(1+0.055))/(0.135-0.055)/(1+0.135)^5-'DCF Valuation'!C22+'DCF Valuation'!C23)*100/'DCF Valuation'!C25</f>
        <v>115947.60183358808</v>
      </c>
      <c r="F12" s="62">
        <f>('Forecast Model'!D16/(1+0.135)^1+'Forecast Model'!E16/(1+0.135)^2+'Forecast Model'!F16/(1+0.135)^3+'Forecast Model'!G16/(1+0.135)^4+'Forecast Model'!H16/(1+0.135)^5+('Forecast Model'!H16*(1+0.06))/(0.135-0.06)/(1+0.135)^5-'DCF Valuation'!C22+'DCF Valuation'!C23)*100/'DCF Valuation'!C25</f>
        <v>121709.31036856891</v>
      </c>
      <c r="G12" s="62">
        <f>('Forecast Model'!D16/(1+0.135)^1+'Forecast Model'!E16/(1+0.135)^2+'Forecast Model'!F16/(1+0.135)^3+'Forecast Model'!G16/(1+0.135)^4+'Forecast Model'!H16/(1+0.135)^5+('Forecast Model'!H16*(1+0.065))/(0.135-0.065)/(1+0.135)^5-'DCF Valuation'!C22+'DCF Valuation'!C23)*100/'DCF Valuation'!C25</f>
        <v>128294.12012283267</v>
      </c>
      <c r="H12" s="62">
        <f>('Forecast Model'!D16/(1+0.135)^1+'Forecast Model'!E16/(1+0.135)^2+'Forecast Model'!F16/(1+0.135)^3+'Forecast Model'!G16/(1+0.135)^4+'Forecast Model'!H16/(1+0.135)^5+('Forecast Model'!H16*(1+0.07))/(0.135-0.07)/(1+0.135)^5-'DCF Valuation'!C22+'DCF Valuation'!C23)*100/'DCF Valuation'!C25</f>
        <v>135891.97753159856</v>
      </c>
    </row>
    <row r="15" spans="1:16" ht="15" customHeight="1" x14ac:dyDescent="0.3">
      <c r="A15" s="68" t="s">
        <v>177</v>
      </c>
      <c r="B15" s="68"/>
      <c r="C15" s="68"/>
      <c r="D15" s="68"/>
      <c r="E15" s="68"/>
      <c r="F15" s="68"/>
      <c r="G15" s="68"/>
      <c r="H15" s="68"/>
      <c r="I15" s="68"/>
      <c r="J15" s="68"/>
    </row>
    <row r="16" spans="1:16" ht="15" customHeight="1" x14ac:dyDescent="0.3">
      <c r="A16" s="59" t="s">
        <v>176</v>
      </c>
      <c r="B16" s="60">
        <v>0.04</v>
      </c>
      <c r="C16" s="60">
        <v>4.4999999999999998E-2</v>
      </c>
      <c r="D16" s="60">
        <v>0.05</v>
      </c>
      <c r="E16" s="60">
        <v>5.5E-2</v>
      </c>
      <c r="F16" s="60">
        <v>0.06</v>
      </c>
      <c r="G16" s="60">
        <v>6.5000000000000002E-2</v>
      </c>
      <c r="H16" s="60">
        <v>7.0000000000000007E-2</v>
      </c>
    </row>
    <row r="17" spans="1:8" ht="15" customHeight="1" x14ac:dyDescent="0.3">
      <c r="A17" s="61">
        <v>0.105</v>
      </c>
      <c r="B17" s="63">
        <f t="shared" ref="B17:H23" si="0">(B6-1484)/1484</f>
        <v>99.901877466193852</v>
      </c>
      <c r="C17" s="63">
        <f t="shared" si="0"/>
        <v>106.55060233069818</v>
      </c>
      <c r="D17" s="63">
        <f t="shared" si="0"/>
        <v>114.40818626147608</v>
      </c>
      <c r="E17" s="63">
        <f t="shared" si="0"/>
        <v>123.83728697840948</v>
      </c>
      <c r="F17" s="63">
        <f t="shared" si="0"/>
        <v>135.36174341021697</v>
      </c>
      <c r="G17" s="63">
        <f t="shared" si="0"/>
        <v>149.7673139499764</v>
      </c>
      <c r="H17" s="63">
        <f t="shared" si="0"/>
        <v>168.28876178680994</v>
      </c>
    </row>
    <row r="18" spans="1:8" ht="15" customHeight="1" x14ac:dyDescent="0.3">
      <c r="A18" s="61">
        <v>0.11</v>
      </c>
      <c r="B18" s="63">
        <f t="shared" si="0"/>
        <v>92.663959764576759</v>
      </c>
      <c r="C18" s="63">
        <f t="shared" si="0"/>
        <v>98.26087550477294</v>
      </c>
      <c r="D18" s="63">
        <f t="shared" si="0"/>
        <v>104.79061053500187</v>
      </c>
      <c r="E18" s="63">
        <f t="shared" si="0"/>
        <v>112.50757011618144</v>
      </c>
      <c r="F18" s="63">
        <f t="shared" si="0"/>
        <v>121.76792161359698</v>
      </c>
      <c r="G18" s="63">
        <f t="shared" si="0"/>
        <v>133.08612899932709</v>
      </c>
      <c r="H18" s="63">
        <f t="shared" si="0"/>
        <v>147.23388823148969</v>
      </c>
    </row>
    <row r="19" spans="1:8" ht="15" customHeight="1" x14ac:dyDescent="0.3">
      <c r="A19" s="61">
        <v>0.115</v>
      </c>
      <c r="B19" s="63">
        <f t="shared" si="0"/>
        <v>86.394028332712509</v>
      </c>
      <c r="C19" s="63">
        <f t="shared" si="0"/>
        <v>91.158264784725034</v>
      </c>
      <c r="D19" s="63">
        <f t="shared" si="0"/>
        <v>96.655460690893364</v>
      </c>
      <c r="E19" s="63">
        <f t="shared" si="0"/>
        <v>103.06885591475638</v>
      </c>
      <c r="F19" s="63">
        <f t="shared" si="0"/>
        <v>110.6483229975036</v>
      </c>
      <c r="G19" s="63">
        <f t="shared" si="0"/>
        <v>119.74368349680024</v>
      </c>
      <c r="H19" s="63">
        <f t="shared" si="0"/>
        <v>130.86023521816281</v>
      </c>
    </row>
    <row r="20" spans="1:8" ht="15" customHeight="1" x14ac:dyDescent="0.3">
      <c r="A20" s="61">
        <v>0.12</v>
      </c>
      <c r="B20" s="63">
        <f t="shared" si="0"/>
        <v>80.910520264964816</v>
      </c>
      <c r="C20" s="63">
        <f t="shared" si="0"/>
        <v>85.00528297410942</v>
      </c>
      <c r="D20" s="63">
        <f t="shared" si="0"/>
        <v>89.68501178456043</v>
      </c>
      <c r="E20" s="63">
        <f t="shared" si="0"/>
        <v>95.084698873542337</v>
      </c>
      <c r="F20" s="63">
        <f t="shared" si="0"/>
        <v>101.38433381068792</v>
      </c>
      <c r="G20" s="63">
        <f t="shared" si="0"/>
        <v>108.82935691822362</v>
      </c>
      <c r="H20" s="63">
        <f t="shared" si="0"/>
        <v>117.76338464726645</v>
      </c>
    </row>
    <row r="21" spans="1:8" ht="15" customHeight="1" x14ac:dyDescent="0.3">
      <c r="A21" s="61">
        <v>0.125</v>
      </c>
      <c r="B21" s="63">
        <f t="shared" si="0"/>
        <v>76.074595102839751</v>
      </c>
      <c r="C21" s="63">
        <f t="shared" si="0"/>
        <v>79.623816393882436</v>
      </c>
      <c r="D21" s="63">
        <f t="shared" si="0"/>
        <v>83.646267190397481</v>
      </c>
      <c r="E21" s="63">
        <f t="shared" si="0"/>
        <v>88.243353814986079</v>
      </c>
      <c r="F21" s="63">
        <f t="shared" si="0"/>
        <v>93.547684535665255</v>
      </c>
      <c r="G21" s="63">
        <f t="shared" si="0"/>
        <v>99.736070376457647</v>
      </c>
      <c r="H21" s="63">
        <f t="shared" si="0"/>
        <v>107.04961727921228</v>
      </c>
    </row>
    <row r="22" spans="1:8" ht="15" customHeight="1" x14ac:dyDescent="0.3">
      <c r="A22" s="61">
        <v>0.13</v>
      </c>
      <c r="B22" s="63">
        <f t="shared" si="0"/>
        <v>71.778267433212548</v>
      </c>
      <c r="C22" s="63">
        <f t="shared" si="0"/>
        <v>74.877662029384751</v>
      </c>
      <c r="D22" s="63">
        <f t="shared" si="0"/>
        <v>78.364480950078487</v>
      </c>
      <c r="E22" s="63">
        <f t="shared" si="0"/>
        <v>82.316209060198034</v>
      </c>
      <c r="F22" s="63">
        <f t="shared" si="0"/>
        <v>86.83246975747754</v>
      </c>
      <c r="G22" s="63">
        <f t="shared" si="0"/>
        <v>92.043539792800033</v>
      </c>
      <c r="H22" s="63">
        <f t="shared" si="0"/>
        <v>98.123121500676291</v>
      </c>
    </row>
    <row r="23" spans="1:8" ht="15" customHeight="1" x14ac:dyDescent="0.3">
      <c r="A23" s="61">
        <v>0.13500000000000001</v>
      </c>
      <c r="B23" s="63">
        <f t="shared" si="0"/>
        <v>67.936287089092005</v>
      </c>
      <c r="C23" s="63">
        <f t="shared" si="0"/>
        <v>70.660885630247151</v>
      </c>
      <c r="D23" s="63">
        <f t="shared" si="0"/>
        <v>73.706025176244097</v>
      </c>
      <c r="E23" s="63">
        <f t="shared" si="0"/>
        <v>77.131807165490613</v>
      </c>
      <c r="F23" s="63">
        <f t="shared" si="0"/>
        <v>81.014360086636728</v>
      </c>
      <c r="G23" s="63">
        <f t="shared" si="0"/>
        <v>85.451563425089404</v>
      </c>
      <c r="H23" s="63">
        <f t="shared" si="0"/>
        <v>90.57141343099633</v>
      </c>
    </row>
  </sheetData>
  <mergeCells count="4">
    <mergeCell ref="A1:P1"/>
    <mergeCell ref="A2:P2"/>
    <mergeCell ref="A4:J4"/>
    <mergeCell ref="A15:J15"/>
  </mergeCells>
  <conditionalFormatting sqref="B17:H23">
    <cfRule type="colorScale" priority="2">
      <colorScale>
        <cfvo type="num" val="-0.3"/>
        <cfvo type="num" val="0"/>
        <cfvo type="num" val="0.3"/>
        <color rgb="FFFF0000"/>
        <color rgb="FFFFFF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N15"/>
  <sheetViews>
    <sheetView showGridLines="0" tabSelected="1" zoomScaleNormal="100" workbookViewId="0">
      <selection sqref="A1:N1"/>
    </sheetView>
  </sheetViews>
  <sheetFormatPr defaultColWidth="8.6640625" defaultRowHeight="14.4" x14ac:dyDescent="0.3"/>
  <cols>
    <col min="1" max="1" width="18" customWidth="1"/>
    <col min="2" max="2" width="8" customWidth="1"/>
    <col min="3" max="3" width="12" customWidth="1"/>
    <col min="4" max="4" width="2" customWidth="1"/>
    <col min="5" max="5" width="12" customWidth="1"/>
    <col min="6" max="6" width="8.44140625" customWidth="1"/>
    <col min="7" max="7" width="12" customWidth="1"/>
    <col min="8" max="8" width="2" customWidth="1"/>
    <col min="9" max="9" width="12" customWidth="1"/>
    <col min="10" max="10" width="2" customWidth="1"/>
    <col min="11" max="11" width="12" customWidth="1"/>
    <col min="12" max="12" width="2" customWidth="1"/>
    <col min="13" max="13" width="14" customWidth="1"/>
    <col min="14" max="14" width="4" customWidth="1"/>
  </cols>
  <sheetData>
    <row r="1" spans="1:14" ht="31.5" customHeight="1" x14ac:dyDescent="0.3">
      <c r="A1" s="78" t="s">
        <v>178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3" spans="1:14" ht="15" customHeight="1" x14ac:dyDescent="0.3">
      <c r="A3" s="79" t="s">
        <v>179</v>
      </c>
      <c r="B3" s="79"/>
      <c r="C3" s="80" t="s">
        <v>180</v>
      </c>
      <c r="D3" s="80"/>
      <c r="E3" s="81" t="s">
        <v>181</v>
      </c>
      <c r="F3" s="81"/>
      <c r="G3" s="82" t="s">
        <v>182</v>
      </c>
      <c r="H3" s="82"/>
      <c r="I3" s="79" t="s">
        <v>183</v>
      </c>
      <c r="J3" s="79"/>
      <c r="K3" s="80" t="s">
        <v>138</v>
      </c>
      <c r="L3" s="80"/>
    </row>
    <row r="4" spans="1:14" ht="15" customHeight="1" x14ac:dyDescent="0.3">
      <c r="A4" s="83">
        <f>'DCF Valuation'!C21</f>
        <v>457599.86193298979</v>
      </c>
      <c r="B4" s="83"/>
      <c r="C4" s="84">
        <f>'DCF Valuation'!C24</f>
        <v>469308.86193298979</v>
      </c>
      <c r="D4" s="84"/>
      <c r="E4" s="85">
        <f>'DCF Valuation'!C26</f>
        <v>113359.62848622943</v>
      </c>
      <c r="F4" s="85"/>
      <c r="G4" s="86" t="s">
        <v>184</v>
      </c>
      <c r="H4" s="86"/>
      <c r="I4" s="87" t="str">
        <f>'DCF Valuation'!C29</f>
        <v>BUY ▲</v>
      </c>
      <c r="J4" s="87"/>
      <c r="K4" s="88">
        <f>Assumptions!C28</f>
        <v>0.13683564793078948</v>
      </c>
      <c r="L4" s="88"/>
    </row>
    <row r="5" spans="1:14" ht="15" customHeight="1" x14ac:dyDescent="0.3">
      <c r="A5" s="83"/>
      <c r="B5" s="83"/>
      <c r="C5" s="84"/>
      <c r="D5" s="84"/>
      <c r="E5" s="85"/>
      <c r="F5" s="85"/>
      <c r="G5" s="86"/>
      <c r="H5" s="86"/>
      <c r="I5" s="87"/>
      <c r="J5" s="87"/>
      <c r="K5" s="88"/>
      <c r="L5" s="88"/>
    </row>
    <row r="6" spans="1:14" ht="15" customHeight="1" x14ac:dyDescent="0.3">
      <c r="A6" s="83"/>
      <c r="B6" s="83"/>
      <c r="C6" s="84"/>
      <c r="D6" s="84"/>
      <c r="E6" s="85"/>
      <c r="F6" s="85"/>
      <c r="G6" s="86"/>
      <c r="H6" s="86"/>
      <c r="I6" s="87"/>
      <c r="J6" s="87"/>
      <c r="K6" s="88"/>
      <c r="L6" s="88"/>
    </row>
    <row r="7" spans="1:14" ht="15" customHeight="1" x14ac:dyDescent="0.3">
      <c r="A7" s="89" t="s">
        <v>185</v>
      </c>
      <c r="B7" s="89"/>
      <c r="C7" s="89" t="s">
        <v>185</v>
      </c>
      <c r="D7" s="89"/>
      <c r="E7" s="89" t="s">
        <v>186</v>
      </c>
      <c r="F7" s="89"/>
      <c r="G7" s="89" t="s">
        <v>186</v>
      </c>
      <c r="H7" s="89"/>
      <c r="I7" s="89" t="s">
        <v>187</v>
      </c>
      <c r="J7" s="89"/>
      <c r="K7" s="89" t="s">
        <v>188</v>
      </c>
      <c r="L7" s="89"/>
    </row>
    <row r="9" spans="1:14" ht="15" customHeight="1" x14ac:dyDescent="0.3">
      <c r="A9" s="3" t="s">
        <v>189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ht="15" customHeight="1" x14ac:dyDescent="0.3">
      <c r="A10" s="33" t="s">
        <v>94</v>
      </c>
      <c r="B10" s="33"/>
      <c r="C10" s="33" t="s">
        <v>48</v>
      </c>
      <c r="E10" s="33" t="s">
        <v>49</v>
      </c>
      <c r="G10" s="33" t="s">
        <v>50</v>
      </c>
      <c r="I10" s="33" t="s">
        <v>51</v>
      </c>
      <c r="K10" s="33" t="s">
        <v>52</v>
      </c>
      <c r="M10" s="33" t="s">
        <v>190</v>
      </c>
    </row>
    <row r="11" spans="1:14" ht="15" customHeight="1" x14ac:dyDescent="0.3">
      <c r="A11" s="1" t="s">
        <v>191</v>
      </c>
      <c r="B11" s="1"/>
      <c r="C11" s="90">
        <v>121641</v>
      </c>
      <c r="D11" s="90"/>
      <c r="E11" s="90">
        <v>146767</v>
      </c>
      <c r="F11" s="90"/>
      <c r="G11" s="90">
        <v>153670</v>
      </c>
      <c r="H11" s="90"/>
      <c r="I11" s="90">
        <v>165809</v>
      </c>
      <c r="J11" s="90"/>
      <c r="K11" s="90">
        <v>180143</v>
      </c>
      <c r="L11" s="90"/>
      <c r="M11" s="91">
        <f>'Forecast Model'!H6</f>
        <v>277143.17429729702</v>
      </c>
      <c r="N11" s="91"/>
    </row>
    <row r="12" spans="1:14" ht="15" customHeight="1" x14ac:dyDescent="0.3">
      <c r="A12" s="64" t="s">
        <v>64</v>
      </c>
      <c r="B12" s="64"/>
      <c r="C12" s="92">
        <v>0.20300000000000001</v>
      </c>
      <c r="D12" s="92"/>
      <c r="E12" s="92">
        <v>0.19400000000000001</v>
      </c>
      <c r="F12" s="92"/>
      <c r="G12" s="92">
        <v>0.19400000000000001</v>
      </c>
      <c r="H12" s="92"/>
      <c r="I12" s="92">
        <v>0.19800000000000001</v>
      </c>
      <c r="J12" s="92"/>
      <c r="K12" s="92">
        <v>0.20399999999999999</v>
      </c>
      <c r="L12" s="92"/>
      <c r="M12" s="93">
        <f>'Forecast Model'!H9</f>
        <v>0.23799999999999999</v>
      </c>
      <c r="N12" s="93"/>
    </row>
    <row r="13" spans="1:14" ht="15" customHeight="1" x14ac:dyDescent="0.3">
      <c r="A13" s="1" t="s">
        <v>153</v>
      </c>
      <c r="B13" s="1"/>
      <c r="C13" s="94" t="s">
        <v>55</v>
      </c>
      <c r="D13" s="94"/>
      <c r="E13" s="94" t="s">
        <v>55</v>
      </c>
      <c r="F13" s="94"/>
      <c r="G13" s="94" t="s">
        <v>55</v>
      </c>
      <c r="H13" s="94"/>
      <c r="I13" s="94" t="s">
        <v>55</v>
      </c>
      <c r="J13" s="94"/>
      <c r="K13" s="94" t="s">
        <v>55</v>
      </c>
      <c r="L13" s="94"/>
      <c r="M13" s="91">
        <f>'Forecast Model'!H16</f>
        <v>47502.483778424867</v>
      </c>
      <c r="N13" s="91"/>
    </row>
    <row r="15" spans="1:14" ht="15" customHeight="1" x14ac:dyDescent="0.3">
      <c r="A15" s="4" t="s">
        <v>192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</sheetData>
  <mergeCells count="42">
    <mergeCell ref="A15:N15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2:B12"/>
    <mergeCell ref="C12:D12"/>
    <mergeCell ref="E12:F12"/>
    <mergeCell ref="G12:H12"/>
    <mergeCell ref="I12:J12"/>
    <mergeCell ref="A9:M9"/>
    <mergeCell ref="A11:B11"/>
    <mergeCell ref="C11:D11"/>
    <mergeCell ref="E11:F11"/>
    <mergeCell ref="G11:H11"/>
    <mergeCell ref="I11:J11"/>
    <mergeCell ref="K11:L11"/>
    <mergeCell ref="M11:N11"/>
    <mergeCell ref="K4:L6"/>
    <mergeCell ref="A7:B7"/>
    <mergeCell ref="C7:D7"/>
    <mergeCell ref="E7:F7"/>
    <mergeCell ref="G7:H7"/>
    <mergeCell ref="I7:J7"/>
    <mergeCell ref="K7:L7"/>
    <mergeCell ref="A4:B6"/>
    <mergeCell ref="C4:D6"/>
    <mergeCell ref="E4:F6"/>
    <mergeCell ref="G4:H6"/>
    <mergeCell ref="I4:J6"/>
    <mergeCell ref="A1:N1"/>
    <mergeCell ref="A3:B3"/>
    <mergeCell ref="C3:D3"/>
    <mergeCell ref="E3:F3"/>
    <mergeCell ref="G3:H3"/>
    <mergeCell ref="I3:J3"/>
    <mergeCell ref="K3:L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 Financials</vt:lpstr>
      <vt:lpstr>Assumptions</vt:lpstr>
      <vt:lpstr>Forecast Model</vt:lpstr>
      <vt:lpstr>DCF Valuation</vt:lpstr>
      <vt:lpstr>Sensitivity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Maneet</cp:lastModifiedBy>
  <cp:revision>0</cp:revision>
  <dcterms:created xsi:type="dcterms:W3CDTF">2026-06-07T15:46:55Z</dcterms:created>
  <dcterms:modified xsi:type="dcterms:W3CDTF">2026-06-09T02:57:07Z</dcterms:modified>
  <dc:language>en-US</dc:language>
</cp:coreProperties>
</file>